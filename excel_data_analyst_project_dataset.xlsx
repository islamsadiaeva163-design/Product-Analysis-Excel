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DBF42E3-E8C5-410B-91E8-12F96E977010}" xr6:coauthVersionLast="47" xr6:coauthVersionMax="47" xr10:uidLastSave="{00000000-0000-0000-0000-000000000000}"/>
  <bookViews>
    <workbookView xWindow="5076" yWindow="1224" windowWidth="17280" windowHeight="8964" xr2:uid="{00000000-000D-0000-FFFF-FFFF00000000}"/>
  </bookViews>
  <sheets>
    <sheet name="Sales_Data" sheetId="1" r:id="rId1"/>
    <sheet name="Product_Lookup" sheetId="2" r:id="rId2"/>
    <sheet name="Personal_Finance" sheetId="3" r:id="rId3"/>
  </sheets>
  <definedNames>
    <definedName name="_xlnm._FilterDatabase" localSheetId="0" hidden="1">Sales_Data!$B$1:$B$301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" i="1" l="1" a="1"/>
  <c r="X7" i="1" s="1"/>
  <c r="B2" i="3" a="1"/>
  <c r="B2" i="3" s="1"/>
  <c r="L2" i="3" a="1"/>
  <c r="L2" i="3" s="1"/>
  <c r="M2" i="3" s="1"/>
  <c r="I2" i="3" a="1"/>
  <c r="I2" i="3" s="1"/>
  <c r="J2" i="3" s="1"/>
  <c r="G2" i="1"/>
  <c r="I2" i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H2" i="3" s="1" a="1"/>
  <c r="H2" i="3" s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E9" i="2"/>
  <c r="E6" i="2"/>
  <c r="J2" i="1"/>
  <c r="M2" i="1"/>
  <c r="N2" i="1" s="1" a="1"/>
  <c r="N2" i="1" s="1"/>
  <c r="E3" i="2" a="1"/>
  <c r="E3" i="2" s="1"/>
  <c r="F2" i="1" a="1"/>
  <c r="F2" i="1" s="1"/>
  <c r="C2" i="1" a="1"/>
  <c r="C2" i="1" s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" i="1"/>
  <c r="O4" i="1"/>
  <c r="O5" i="1"/>
  <c r="O6" i="1"/>
  <c r="O7" i="1"/>
  <c r="O8" i="1"/>
  <c r="O9" i="1"/>
  <c r="O10" i="1"/>
  <c r="O11" i="1"/>
  <c r="O12" i="1"/>
  <c r="O13" i="1"/>
  <c r="O14" i="1"/>
  <c r="J6" i="3" l="1"/>
  <c r="J8" i="3"/>
  <c r="J4" i="3"/>
  <c r="M3" i="3"/>
  <c r="M4" i="3" s="1"/>
  <c r="J5" i="3"/>
  <c r="J7" i="3"/>
  <c r="J3" i="3"/>
  <c r="G6" i="1"/>
  <c r="G5" i="1"/>
  <c r="O2" i="1"/>
  <c r="G4" i="1"/>
  <c r="G7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<sst xmlns="http://schemas.openxmlformats.org/spreadsheetml/2006/main" count="2024" uniqueCount="667">
  <si>
    <t>Order_ID</t>
  </si>
  <si>
    <t>Order_Date</t>
  </si>
  <si>
    <t>Region</t>
  </si>
  <si>
    <t>Salesperson</t>
  </si>
  <si>
    <t>Product</t>
  </si>
  <si>
    <t>Category</t>
  </si>
  <si>
    <t>Units_Sold</t>
  </si>
  <si>
    <t>Unit_Price</t>
  </si>
  <si>
    <t>Revenue</t>
  </si>
  <si>
    <t>O0001</t>
  </si>
  <si>
    <t>2023-02-24</t>
  </si>
  <si>
    <t>Chattogram</t>
  </si>
  <si>
    <t>Ayesha</t>
  </si>
  <si>
    <t>Monitor</t>
  </si>
  <si>
    <t>Electronics</t>
  </si>
  <si>
    <t>O0002</t>
  </si>
  <si>
    <t>2023-11-23</t>
  </si>
  <si>
    <t>Nabila</t>
  </si>
  <si>
    <t>Mouse</t>
  </si>
  <si>
    <t>Accessories</t>
  </si>
  <si>
    <t>O0003</t>
  </si>
  <si>
    <t>2023-08-19</t>
  </si>
  <si>
    <t>Rajshahi</t>
  </si>
  <si>
    <t>Tanvir</t>
  </si>
  <si>
    <t>Headphone</t>
  </si>
  <si>
    <t>O0004</t>
  </si>
  <si>
    <t>2023-11-17</t>
  </si>
  <si>
    <t>Khulna</t>
  </si>
  <si>
    <t>O0005</t>
  </si>
  <si>
    <t>2023-06-08</t>
  </si>
  <si>
    <t>O0006</t>
  </si>
  <si>
    <t>2024-08-08</t>
  </si>
  <si>
    <t>Rahim</t>
  </si>
  <si>
    <t>Printer</t>
  </si>
  <si>
    <t>O0007</t>
  </si>
  <si>
    <t>2023-01-14</t>
  </si>
  <si>
    <t>Dhaka</t>
  </si>
  <si>
    <t>O0008</t>
  </si>
  <si>
    <t>2024-11-13</t>
  </si>
  <si>
    <t>Laptop</t>
  </si>
  <si>
    <t>O0009</t>
  </si>
  <si>
    <t>2023-01-12</t>
  </si>
  <si>
    <t>Sadia</t>
  </si>
  <si>
    <t>O0010</t>
  </si>
  <si>
    <t>2023-11-08</t>
  </si>
  <si>
    <t>Sylhet</t>
  </si>
  <si>
    <t>O0011</t>
  </si>
  <si>
    <t>2023-06-04</t>
  </si>
  <si>
    <t>O0012</t>
  </si>
  <si>
    <t>2023-05-23</t>
  </si>
  <si>
    <t>O0013</t>
  </si>
  <si>
    <t>2023-06-03</t>
  </si>
  <si>
    <t>O0014</t>
  </si>
  <si>
    <t>2024-04-15</t>
  </si>
  <si>
    <t>O0015</t>
  </si>
  <si>
    <t>2024-03-23</t>
  </si>
  <si>
    <t>O0016</t>
  </si>
  <si>
    <t>2024-08-11</t>
  </si>
  <si>
    <t>Karim</t>
  </si>
  <si>
    <t>O0017</t>
  </si>
  <si>
    <t>O0018</t>
  </si>
  <si>
    <t>2024-06-26</t>
  </si>
  <si>
    <t>O0019</t>
  </si>
  <si>
    <t>2024-09-06</t>
  </si>
  <si>
    <t>O0020</t>
  </si>
  <si>
    <t>2023-03-25</t>
  </si>
  <si>
    <t>O0021</t>
  </si>
  <si>
    <t>2023-12-09</t>
  </si>
  <si>
    <t>O0022</t>
  </si>
  <si>
    <t>2023-09-26</t>
  </si>
  <si>
    <t>O0023</t>
  </si>
  <si>
    <t>2024-02-29</t>
  </si>
  <si>
    <t>O0024</t>
  </si>
  <si>
    <t>2024-03-31</t>
  </si>
  <si>
    <t>Keyboard</t>
  </si>
  <si>
    <t>O0025</t>
  </si>
  <si>
    <t>2023-09-29</t>
  </si>
  <si>
    <t>O0026</t>
  </si>
  <si>
    <t>2024-08-24</t>
  </si>
  <si>
    <t>O0027</t>
  </si>
  <si>
    <t>2023-08-23</t>
  </si>
  <si>
    <t>O0028</t>
  </si>
  <si>
    <t>2024-07-13</t>
  </si>
  <si>
    <t>O0029</t>
  </si>
  <si>
    <t>2023-07-01</t>
  </si>
  <si>
    <t>O0030</t>
  </si>
  <si>
    <t>2024-02-13</t>
  </si>
  <si>
    <t>O0031</t>
  </si>
  <si>
    <t>2023-12-23</t>
  </si>
  <si>
    <t>O0032</t>
  </si>
  <si>
    <t>2023-04-02</t>
  </si>
  <si>
    <t>O0033</t>
  </si>
  <si>
    <t>O0034</t>
  </si>
  <si>
    <t>2023-12-24</t>
  </si>
  <si>
    <t>O0035</t>
  </si>
  <si>
    <t>2024-01-10</t>
  </si>
  <si>
    <t>O0036</t>
  </si>
  <si>
    <t>2023-07-22</t>
  </si>
  <si>
    <t>O0037</t>
  </si>
  <si>
    <t>2024-01-28</t>
  </si>
  <si>
    <t>O0038</t>
  </si>
  <si>
    <t>2023-03-13</t>
  </si>
  <si>
    <t>O0039</t>
  </si>
  <si>
    <t>2023-08-07</t>
  </si>
  <si>
    <t>O0040</t>
  </si>
  <si>
    <t>2023-10-15</t>
  </si>
  <si>
    <t>O0041</t>
  </si>
  <si>
    <t>2023-06-27</t>
  </si>
  <si>
    <t>O0042</t>
  </si>
  <si>
    <t>2024-10-02</t>
  </si>
  <si>
    <t>O0043</t>
  </si>
  <si>
    <t>2024-07-22</t>
  </si>
  <si>
    <t>O0044</t>
  </si>
  <si>
    <t>2023-10-07</t>
  </si>
  <si>
    <t>O0045</t>
  </si>
  <si>
    <t>2024-10-20</t>
  </si>
  <si>
    <t>O0046</t>
  </si>
  <si>
    <t>2023-03-11</t>
  </si>
  <si>
    <t>O0047</t>
  </si>
  <si>
    <t>2024-02-22</t>
  </si>
  <si>
    <t>O0048</t>
  </si>
  <si>
    <t>2023-01-26</t>
  </si>
  <si>
    <t>O0049</t>
  </si>
  <si>
    <t>2024-04-12</t>
  </si>
  <si>
    <t>O0050</t>
  </si>
  <si>
    <t>2024-05-22</t>
  </si>
  <si>
    <t>O0051</t>
  </si>
  <si>
    <t>2024-03-01</t>
  </si>
  <si>
    <t>O0052</t>
  </si>
  <si>
    <t>2023-11-03</t>
  </si>
  <si>
    <t>O0053</t>
  </si>
  <si>
    <t>2024-11-20</t>
  </si>
  <si>
    <t>O0054</t>
  </si>
  <si>
    <t>2023-09-21</t>
  </si>
  <si>
    <t>O0055</t>
  </si>
  <si>
    <t>2023-05-25</t>
  </si>
  <si>
    <t>O0056</t>
  </si>
  <si>
    <t>2023-08-22</t>
  </si>
  <si>
    <t>O0057</t>
  </si>
  <si>
    <t>2023-07-12</t>
  </si>
  <si>
    <t>O0058</t>
  </si>
  <si>
    <t>2023-06-29</t>
  </si>
  <si>
    <t>O0059</t>
  </si>
  <si>
    <t>2023-02-09</t>
  </si>
  <si>
    <t>O0060</t>
  </si>
  <si>
    <t>O0061</t>
  </si>
  <si>
    <t>2024-09-09</t>
  </si>
  <si>
    <t>O0062</t>
  </si>
  <si>
    <t>2024-11-19</t>
  </si>
  <si>
    <t>O0063</t>
  </si>
  <si>
    <t>2024-02-18</t>
  </si>
  <si>
    <t>O0064</t>
  </si>
  <si>
    <t>2023-09-13</t>
  </si>
  <si>
    <t>O0065</t>
  </si>
  <si>
    <t>2024-11-25</t>
  </si>
  <si>
    <t>O0066</t>
  </si>
  <si>
    <t>2023-02-04</t>
  </si>
  <si>
    <t>O0067</t>
  </si>
  <si>
    <t>2023-01-31</t>
  </si>
  <si>
    <t>O0068</t>
  </si>
  <si>
    <t>2024-05-16</t>
  </si>
  <si>
    <t>O0069</t>
  </si>
  <si>
    <t>2023-07-27</t>
  </si>
  <si>
    <t>O0070</t>
  </si>
  <si>
    <t>2024-05-14</t>
  </si>
  <si>
    <t>O0071</t>
  </si>
  <si>
    <t>2023-07-25</t>
  </si>
  <si>
    <t>O0072</t>
  </si>
  <si>
    <t>2024-11-06</t>
  </si>
  <si>
    <t>O0073</t>
  </si>
  <si>
    <t>2024-03-04</t>
  </si>
  <si>
    <t>O0074</t>
  </si>
  <si>
    <t>O0075</t>
  </si>
  <si>
    <t>2023-05-21</t>
  </si>
  <si>
    <t>O0076</t>
  </si>
  <si>
    <t>2024-11-30</t>
  </si>
  <si>
    <t>O0077</t>
  </si>
  <si>
    <t>2023-11-25</t>
  </si>
  <si>
    <t>O0078</t>
  </si>
  <si>
    <t>2023-02-14</t>
  </si>
  <si>
    <t>O0079</t>
  </si>
  <si>
    <t>2023-10-18</t>
  </si>
  <si>
    <t>O0080</t>
  </si>
  <si>
    <t>O0081</t>
  </si>
  <si>
    <t>2023-08-11</t>
  </si>
  <si>
    <t>O0082</t>
  </si>
  <si>
    <t>O0083</t>
  </si>
  <si>
    <t>2024-11-03</t>
  </si>
  <si>
    <t>O0084</t>
  </si>
  <si>
    <t>2023-08-24</t>
  </si>
  <si>
    <t>O0085</t>
  </si>
  <si>
    <t>2023-05-04</t>
  </si>
  <si>
    <t>O0086</t>
  </si>
  <si>
    <t>2023-03-02</t>
  </si>
  <si>
    <t>O0087</t>
  </si>
  <si>
    <t>2023-05-20</t>
  </si>
  <si>
    <t>O0088</t>
  </si>
  <si>
    <t>2023-12-17</t>
  </si>
  <si>
    <t>O0089</t>
  </si>
  <si>
    <t>O0090</t>
  </si>
  <si>
    <t>2024-10-19</t>
  </si>
  <si>
    <t>O0091</t>
  </si>
  <si>
    <t>2024-01-20</t>
  </si>
  <si>
    <t>O0092</t>
  </si>
  <si>
    <t>2024-02-15</t>
  </si>
  <si>
    <t>O0093</t>
  </si>
  <si>
    <t>2024-07-16</t>
  </si>
  <si>
    <t>O0094</t>
  </si>
  <si>
    <t>2024-10-25</t>
  </si>
  <si>
    <t>O0095</t>
  </si>
  <si>
    <t>2024-11-21</t>
  </si>
  <si>
    <t>O0096</t>
  </si>
  <si>
    <t>2024-10-18</t>
  </si>
  <si>
    <t>O0097</t>
  </si>
  <si>
    <t>2023-07-24</t>
  </si>
  <si>
    <t>O0098</t>
  </si>
  <si>
    <t>2024-08-09</t>
  </si>
  <si>
    <t>O0099</t>
  </si>
  <si>
    <t>2024-04-01</t>
  </si>
  <si>
    <t>O0100</t>
  </si>
  <si>
    <t>2023-10-16</t>
  </si>
  <si>
    <t>O0101</t>
  </si>
  <si>
    <t>2023-12-05</t>
  </si>
  <si>
    <t>O0102</t>
  </si>
  <si>
    <t>2023-03-27</t>
  </si>
  <si>
    <t>O0103</t>
  </si>
  <si>
    <t>2023-02-28</t>
  </si>
  <si>
    <t>O0104</t>
  </si>
  <si>
    <t>2024-05-30</t>
  </si>
  <si>
    <t>O0105</t>
  </si>
  <si>
    <t>2023-09-22</t>
  </si>
  <si>
    <t>O0106</t>
  </si>
  <si>
    <t>2023-06-13</t>
  </si>
  <si>
    <t>O0107</t>
  </si>
  <si>
    <t>O0108</t>
  </si>
  <si>
    <t>2024-08-05</t>
  </si>
  <si>
    <t>O0109</t>
  </si>
  <si>
    <t>2023-01-15</t>
  </si>
  <si>
    <t>O0110</t>
  </si>
  <si>
    <t>2024-11-11</t>
  </si>
  <si>
    <t>O0111</t>
  </si>
  <si>
    <t>2023-04-12</t>
  </si>
  <si>
    <t>O0112</t>
  </si>
  <si>
    <t>2023-05-11</t>
  </si>
  <si>
    <t>O0113</t>
  </si>
  <si>
    <t>2024-10-11</t>
  </si>
  <si>
    <t>O0114</t>
  </si>
  <si>
    <t>2024-08-27</t>
  </si>
  <si>
    <t>O0115</t>
  </si>
  <si>
    <t>2024-05-21</t>
  </si>
  <si>
    <t>O0116</t>
  </si>
  <si>
    <t>2023-12-14</t>
  </si>
  <si>
    <t>O0117</t>
  </si>
  <si>
    <t>2024-09-13</t>
  </si>
  <si>
    <t>O0118</t>
  </si>
  <si>
    <t>O0119</t>
  </si>
  <si>
    <t>2024-03-16</t>
  </si>
  <si>
    <t>O0120</t>
  </si>
  <si>
    <t>2023-06-06</t>
  </si>
  <si>
    <t>O0121</t>
  </si>
  <si>
    <t>2023-05-09</t>
  </si>
  <si>
    <t>O0122</t>
  </si>
  <si>
    <t>2023-08-05</t>
  </si>
  <si>
    <t>O0123</t>
  </si>
  <si>
    <t>2024-11-23</t>
  </si>
  <si>
    <t>O0124</t>
  </si>
  <si>
    <t>2023-07-06</t>
  </si>
  <si>
    <t>O0125</t>
  </si>
  <si>
    <t>O0126</t>
  </si>
  <si>
    <t>2024-02-24</t>
  </si>
  <si>
    <t>O0127</t>
  </si>
  <si>
    <t>2023-03-26</t>
  </si>
  <si>
    <t>O0128</t>
  </si>
  <si>
    <t>2024-09-12</t>
  </si>
  <si>
    <t>O0129</t>
  </si>
  <si>
    <t>2024-01-18</t>
  </si>
  <si>
    <t>O0130</t>
  </si>
  <si>
    <t>O0131</t>
  </si>
  <si>
    <t>2023-06-12</t>
  </si>
  <si>
    <t>O0132</t>
  </si>
  <si>
    <t>2023-02-26</t>
  </si>
  <si>
    <t>O0133</t>
  </si>
  <si>
    <t>2024-11-07</t>
  </si>
  <si>
    <t>O0134</t>
  </si>
  <si>
    <t>O0135</t>
  </si>
  <si>
    <t>2024-01-21</t>
  </si>
  <si>
    <t>O0136</t>
  </si>
  <si>
    <t>O0137</t>
  </si>
  <si>
    <t>2024-06-30</t>
  </si>
  <si>
    <t>O0138</t>
  </si>
  <si>
    <t>2023-01-29</t>
  </si>
  <si>
    <t>O0139</t>
  </si>
  <si>
    <t>2023-10-17</t>
  </si>
  <si>
    <t>O0140</t>
  </si>
  <si>
    <t>2023-10-25</t>
  </si>
  <si>
    <t>O0141</t>
  </si>
  <si>
    <t>2024-11-08</t>
  </si>
  <si>
    <t>O0142</t>
  </si>
  <si>
    <t>2023-07-17</t>
  </si>
  <si>
    <t>O0143</t>
  </si>
  <si>
    <t>O0144</t>
  </si>
  <si>
    <t>2023-08-08</t>
  </si>
  <si>
    <t>O0145</t>
  </si>
  <si>
    <t>2023-10-04</t>
  </si>
  <si>
    <t>O0146</t>
  </si>
  <si>
    <t>O0147</t>
  </si>
  <si>
    <t>2023-09-01</t>
  </si>
  <si>
    <t>O0148</t>
  </si>
  <si>
    <t>2024-10-09</t>
  </si>
  <si>
    <t>O0149</t>
  </si>
  <si>
    <t>O0150</t>
  </si>
  <si>
    <t>2023-05-07</t>
  </si>
  <si>
    <t>O0151</t>
  </si>
  <si>
    <t>2023-11-20</t>
  </si>
  <si>
    <t>O0152</t>
  </si>
  <si>
    <t>2024-05-08</t>
  </si>
  <si>
    <t>O0153</t>
  </si>
  <si>
    <t>2024-07-10</t>
  </si>
  <si>
    <t>O0154</t>
  </si>
  <si>
    <t>O0155</t>
  </si>
  <si>
    <t>2023-02-21</t>
  </si>
  <si>
    <t>O0156</t>
  </si>
  <si>
    <t>2024-03-14</t>
  </si>
  <si>
    <t>O0157</t>
  </si>
  <si>
    <t>2023-04-27</t>
  </si>
  <si>
    <t>O0158</t>
  </si>
  <si>
    <t>2023-07-03</t>
  </si>
  <si>
    <t>O0159</t>
  </si>
  <si>
    <t>O0160</t>
  </si>
  <si>
    <t>2024-02-25</t>
  </si>
  <si>
    <t>O0161</t>
  </si>
  <si>
    <t>2024-07-30</t>
  </si>
  <si>
    <t>O0162</t>
  </si>
  <si>
    <t>2023-12-13</t>
  </si>
  <si>
    <t>O0163</t>
  </si>
  <si>
    <t>O0164</t>
  </si>
  <si>
    <t>2024-10-06</t>
  </si>
  <si>
    <t>O0165</t>
  </si>
  <si>
    <t>2024-06-24</t>
  </si>
  <si>
    <t>O0166</t>
  </si>
  <si>
    <t>O0167</t>
  </si>
  <si>
    <t>2023-06-21</t>
  </si>
  <si>
    <t>O0168</t>
  </si>
  <si>
    <t>O0169</t>
  </si>
  <si>
    <t>O0170</t>
  </si>
  <si>
    <t>2023-02-06</t>
  </si>
  <si>
    <t>O0171</t>
  </si>
  <si>
    <t>2023-01-01</t>
  </si>
  <si>
    <t>O0172</t>
  </si>
  <si>
    <t>2023-06-19</t>
  </si>
  <si>
    <t>O0173</t>
  </si>
  <si>
    <t>2023-12-26</t>
  </si>
  <si>
    <t>O0174</t>
  </si>
  <si>
    <t>O0175</t>
  </si>
  <si>
    <t>2024-04-22</t>
  </si>
  <si>
    <t>O0176</t>
  </si>
  <si>
    <t>2023-11-11</t>
  </si>
  <si>
    <t>O0177</t>
  </si>
  <si>
    <t>O0178</t>
  </si>
  <si>
    <t>2023-11-22</t>
  </si>
  <si>
    <t>O0179</t>
  </si>
  <si>
    <t>2023-01-09</t>
  </si>
  <si>
    <t>O0180</t>
  </si>
  <si>
    <t>2023-04-21</t>
  </si>
  <si>
    <t>O0181</t>
  </si>
  <si>
    <t>2023-08-18</t>
  </si>
  <si>
    <t>O0182</t>
  </si>
  <si>
    <t>2023-09-09</t>
  </si>
  <si>
    <t>O0183</t>
  </si>
  <si>
    <t>2023-07-08</t>
  </si>
  <si>
    <t>O0184</t>
  </si>
  <si>
    <t>2023-07-29</t>
  </si>
  <si>
    <t>O0185</t>
  </si>
  <si>
    <t>2024-06-04</t>
  </si>
  <si>
    <t>O0186</t>
  </si>
  <si>
    <t>2023-09-03</t>
  </si>
  <si>
    <t>O0187</t>
  </si>
  <si>
    <t>2024-07-19</t>
  </si>
  <si>
    <t>O0188</t>
  </si>
  <si>
    <t>O0189</t>
  </si>
  <si>
    <t>2024-01-08</t>
  </si>
  <si>
    <t>O0190</t>
  </si>
  <si>
    <t>O0191</t>
  </si>
  <si>
    <t>2024-02-12</t>
  </si>
  <si>
    <t>O0192</t>
  </si>
  <si>
    <t>2024-09-23</t>
  </si>
  <si>
    <t>O0193</t>
  </si>
  <si>
    <t>O0194</t>
  </si>
  <si>
    <t>O0195</t>
  </si>
  <si>
    <t>2024-06-27</t>
  </si>
  <si>
    <t>O0196</t>
  </si>
  <si>
    <t>2023-05-13</t>
  </si>
  <si>
    <t>O0197</t>
  </si>
  <si>
    <t>2023-03-19</t>
  </si>
  <si>
    <t>O0198</t>
  </si>
  <si>
    <t>2024-04-24</t>
  </si>
  <si>
    <t>O0199</t>
  </si>
  <si>
    <t>2024-02-19</t>
  </si>
  <si>
    <t>O0200</t>
  </si>
  <si>
    <t>2024-03-13</t>
  </si>
  <si>
    <t>O0201</t>
  </si>
  <si>
    <t>2024-10-21</t>
  </si>
  <si>
    <t>O0202</t>
  </si>
  <si>
    <t>2023-11-12</t>
  </si>
  <si>
    <t>O0203</t>
  </si>
  <si>
    <t>2024-05-10</t>
  </si>
  <si>
    <t>O0204</t>
  </si>
  <si>
    <t>2023-01-03</t>
  </si>
  <si>
    <t>O0205</t>
  </si>
  <si>
    <t>2023-04-29</t>
  </si>
  <si>
    <t>O0206</t>
  </si>
  <si>
    <t>2023-12-16</t>
  </si>
  <si>
    <t>O0207</t>
  </si>
  <si>
    <t>2024-06-28</t>
  </si>
  <si>
    <t>O0208</t>
  </si>
  <si>
    <t>2023-08-09</t>
  </si>
  <si>
    <t>O0209</t>
  </si>
  <si>
    <t>2023-02-19</t>
  </si>
  <si>
    <t>O0210</t>
  </si>
  <si>
    <t>2023-06-25</t>
  </si>
  <si>
    <t>O0211</t>
  </si>
  <si>
    <t>2024-11-17</t>
  </si>
  <si>
    <t>O0212</t>
  </si>
  <si>
    <t>2023-02-05</t>
  </si>
  <si>
    <t>O0213</t>
  </si>
  <si>
    <t>2024-08-12</t>
  </si>
  <si>
    <t>O0214</t>
  </si>
  <si>
    <t>2023-10-21</t>
  </si>
  <si>
    <t>O0215</t>
  </si>
  <si>
    <t>2024-01-15</t>
  </si>
  <si>
    <t>O0216</t>
  </si>
  <si>
    <t>2024-01-29</t>
  </si>
  <si>
    <t>O0217</t>
  </si>
  <si>
    <t>2023-07-07</t>
  </si>
  <si>
    <t>O0218</t>
  </si>
  <si>
    <t>O0219</t>
  </si>
  <si>
    <t>2024-05-23</t>
  </si>
  <si>
    <t>O0220</t>
  </si>
  <si>
    <t>2023-04-24</t>
  </si>
  <si>
    <t>O0221</t>
  </si>
  <si>
    <t>O0222</t>
  </si>
  <si>
    <t>2023-06-22</t>
  </si>
  <si>
    <t>O0223</t>
  </si>
  <si>
    <t>2023-02-13</t>
  </si>
  <si>
    <t>O0224</t>
  </si>
  <si>
    <t>2023-03-16</t>
  </si>
  <si>
    <t>O0225</t>
  </si>
  <si>
    <t>O0226</t>
  </si>
  <si>
    <t>2023-08-31</t>
  </si>
  <si>
    <t>O0227</t>
  </si>
  <si>
    <t>2023-09-15</t>
  </si>
  <si>
    <t>O0228</t>
  </si>
  <si>
    <t>2024-07-14</t>
  </si>
  <si>
    <t>O0229</t>
  </si>
  <si>
    <t>2024-06-19</t>
  </si>
  <si>
    <t>O0230</t>
  </si>
  <si>
    <t>2024-02-10</t>
  </si>
  <si>
    <t>O0231</t>
  </si>
  <si>
    <t>2024-04-14</t>
  </si>
  <si>
    <t>O0232</t>
  </si>
  <si>
    <t>O0233</t>
  </si>
  <si>
    <t>O0234</t>
  </si>
  <si>
    <t>O0235</t>
  </si>
  <si>
    <t>2023-01-27</t>
  </si>
  <si>
    <t>O0236</t>
  </si>
  <si>
    <t>2023-06-10</t>
  </si>
  <si>
    <t>O0237</t>
  </si>
  <si>
    <t>2024-04-06</t>
  </si>
  <si>
    <t>O0238</t>
  </si>
  <si>
    <t>2024-08-01</t>
  </si>
  <si>
    <t>O0239</t>
  </si>
  <si>
    <t>2024-11-24</t>
  </si>
  <si>
    <t>O0240</t>
  </si>
  <si>
    <t>2024-04-21</t>
  </si>
  <si>
    <t>O0241</t>
  </si>
  <si>
    <t>2023-10-02</t>
  </si>
  <si>
    <t>O0242</t>
  </si>
  <si>
    <t>2024-01-03</t>
  </si>
  <si>
    <t>O0243</t>
  </si>
  <si>
    <t>2024-03-27</t>
  </si>
  <si>
    <t>O0244</t>
  </si>
  <si>
    <t>2024-09-05</t>
  </si>
  <si>
    <t>O0245</t>
  </si>
  <si>
    <t>2024-01-23</t>
  </si>
  <si>
    <t>O0246</t>
  </si>
  <si>
    <t>2024-09-20</t>
  </si>
  <si>
    <t>O0247</t>
  </si>
  <si>
    <t>2023-09-12</t>
  </si>
  <si>
    <t>O0248</t>
  </si>
  <si>
    <t>2023-08-02</t>
  </si>
  <si>
    <t>O0249</t>
  </si>
  <si>
    <t>2024-06-21</t>
  </si>
  <si>
    <t>O0250</t>
  </si>
  <si>
    <t>2023-05-01</t>
  </si>
  <si>
    <t>O0251</t>
  </si>
  <si>
    <t>2023-03-31</t>
  </si>
  <si>
    <t>O0252</t>
  </si>
  <si>
    <t>2024-05-20</t>
  </si>
  <si>
    <t>O0253</t>
  </si>
  <si>
    <t>2023-06-26</t>
  </si>
  <si>
    <t>O0254</t>
  </si>
  <si>
    <t>2024-08-04</t>
  </si>
  <si>
    <t>O0255</t>
  </si>
  <si>
    <t>O0256</t>
  </si>
  <si>
    <t>2023-09-28</t>
  </si>
  <si>
    <t>O0257</t>
  </si>
  <si>
    <t>O0258</t>
  </si>
  <si>
    <t>2024-07-20</t>
  </si>
  <si>
    <t>O0259</t>
  </si>
  <si>
    <t>2023-05-24</t>
  </si>
  <si>
    <t>O0260</t>
  </si>
  <si>
    <t>O0261</t>
  </si>
  <si>
    <t>2024-11-15</t>
  </si>
  <si>
    <t>O0262</t>
  </si>
  <si>
    <t>O0263</t>
  </si>
  <si>
    <t>2024-09-28</t>
  </si>
  <si>
    <t>O0264</t>
  </si>
  <si>
    <t>O0265</t>
  </si>
  <si>
    <t>2024-06-03</t>
  </si>
  <si>
    <t>O0266</t>
  </si>
  <si>
    <t>2023-04-04</t>
  </si>
  <si>
    <t>O0267</t>
  </si>
  <si>
    <t>2023-05-30</t>
  </si>
  <si>
    <t>O0268</t>
  </si>
  <si>
    <t>2023-09-06</t>
  </si>
  <si>
    <t>O0269</t>
  </si>
  <si>
    <t>2023-03-10</t>
  </si>
  <si>
    <t>O0270</t>
  </si>
  <si>
    <t>2023-10-26</t>
  </si>
  <si>
    <t>O0271</t>
  </si>
  <si>
    <t>O0272</t>
  </si>
  <si>
    <t>O0273</t>
  </si>
  <si>
    <t>2023-09-30</t>
  </si>
  <si>
    <t>O0274</t>
  </si>
  <si>
    <t>O0275</t>
  </si>
  <si>
    <t>2024-02-01</t>
  </si>
  <si>
    <t>O0276</t>
  </si>
  <si>
    <t>O0277</t>
  </si>
  <si>
    <t>O0278</t>
  </si>
  <si>
    <t>2023-08-25</t>
  </si>
  <si>
    <t>O0279</t>
  </si>
  <si>
    <t>2023-12-29</t>
  </si>
  <si>
    <t>O0280</t>
  </si>
  <si>
    <t>O0281</t>
  </si>
  <si>
    <t>2024-07-06</t>
  </si>
  <si>
    <t>O0282</t>
  </si>
  <si>
    <t>O0283</t>
  </si>
  <si>
    <t>O0284</t>
  </si>
  <si>
    <t>O0285</t>
  </si>
  <si>
    <t>O0286</t>
  </si>
  <si>
    <t>O0287</t>
  </si>
  <si>
    <t>2024-03-28</t>
  </si>
  <si>
    <t>O0288</t>
  </si>
  <si>
    <t>O0289</t>
  </si>
  <si>
    <t>O0290</t>
  </si>
  <si>
    <t>2023-07-11</t>
  </si>
  <si>
    <t>O0291</t>
  </si>
  <si>
    <t>O0292</t>
  </si>
  <si>
    <t>O0293</t>
  </si>
  <si>
    <t>2023-05-17</t>
  </si>
  <si>
    <t>O0294</t>
  </si>
  <si>
    <t>O0295</t>
  </si>
  <si>
    <t>2024-03-22</t>
  </si>
  <si>
    <t>O0296</t>
  </si>
  <si>
    <t>O0297</t>
  </si>
  <si>
    <t>2024-04-16</t>
  </si>
  <si>
    <t>O0298</t>
  </si>
  <si>
    <t>O0299</t>
  </si>
  <si>
    <t>2023-01-21</t>
  </si>
  <si>
    <t>O0300</t>
  </si>
  <si>
    <t>2023-05-10</t>
  </si>
  <si>
    <t>Standard_Price</t>
  </si>
  <si>
    <t>Date</t>
  </si>
  <si>
    <t>Type</t>
  </si>
  <si>
    <t>Amount</t>
  </si>
  <si>
    <t>Payment_Method</t>
  </si>
  <si>
    <t>2023-06-15</t>
  </si>
  <si>
    <t>Income</t>
  </si>
  <si>
    <t>Food</t>
  </si>
  <si>
    <t>Cash</t>
  </si>
  <si>
    <t>Transport</t>
  </si>
  <si>
    <t>2023-05-28</t>
  </si>
  <si>
    <t>Expense</t>
  </si>
  <si>
    <t>Salary</t>
  </si>
  <si>
    <t>Bank</t>
  </si>
  <si>
    <t>2023-12-12</t>
  </si>
  <si>
    <t>Savings</t>
  </si>
  <si>
    <t>bKash</t>
  </si>
  <si>
    <t>2023-12-31</t>
  </si>
  <si>
    <t>Card</t>
  </si>
  <si>
    <t>Freelance</t>
  </si>
  <si>
    <t>2023-08-30</t>
  </si>
  <si>
    <t>2023-03-18</t>
  </si>
  <si>
    <t>2023-04-15</t>
  </si>
  <si>
    <t>2023-06-11</t>
  </si>
  <si>
    <t>Bills</t>
  </si>
  <si>
    <t>2023-02-03</t>
  </si>
  <si>
    <t>Shopping</t>
  </si>
  <si>
    <t>2023-07-09</t>
  </si>
  <si>
    <t>2023-03-17</t>
  </si>
  <si>
    <t>2023-10-29</t>
  </si>
  <si>
    <t>2023-11-30</t>
  </si>
  <si>
    <t>2023-04-20</t>
  </si>
  <si>
    <t>2023-11-01</t>
  </si>
  <si>
    <t>2023-10-06</t>
  </si>
  <si>
    <t>2023-08-26</t>
  </si>
  <si>
    <t>2023-09-07</t>
  </si>
  <si>
    <t>2023-09-11</t>
  </si>
  <si>
    <t>2023-07-30</t>
  </si>
  <si>
    <t>2023-07-23</t>
  </si>
  <si>
    <t>2023-12-20</t>
  </si>
  <si>
    <t>2023-06-28</t>
  </si>
  <si>
    <t>2023-10-27</t>
  </si>
  <si>
    <t>2023-02-20</t>
  </si>
  <si>
    <t>2023-10-13</t>
  </si>
  <si>
    <t>2023-07-20</t>
  </si>
  <si>
    <t>2023-06-14</t>
  </si>
  <si>
    <t>2023-09-27</t>
  </si>
  <si>
    <t>2023-06-30</t>
  </si>
  <si>
    <t>2023-10-31</t>
  </si>
  <si>
    <t>2023-07-19</t>
  </si>
  <si>
    <t>2023-01-04</t>
  </si>
  <si>
    <t>2023-04-18</t>
  </si>
  <si>
    <t>2023-11-19</t>
  </si>
  <si>
    <t>2023-04-09</t>
  </si>
  <si>
    <t>2023-07-13</t>
  </si>
  <si>
    <t>2023-08-12</t>
  </si>
  <si>
    <t>2023-08-15</t>
  </si>
  <si>
    <t>2023-04-16</t>
  </si>
  <si>
    <t>2023-01-02</t>
  </si>
  <si>
    <t>2023-03-04</t>
  </si>
  <si>
    <t>2023-03-20</t>
  </si>
  <si>
    <t>2023-12-10</t>
  </si>
  <si>
    <t>2023-12-07</t>
  </si>
  <si>
    <t>2023-08-14</t>
  </si>
  <si>
    <t>2023-12-03</t>
  </si>
  <si>
    <t>2023-09-10</t>
  </si>
  <si>
    <t>2023-12-01</t>
  </si>
  <si>
    <t>2023-03-06</t>
  </si>
  <si>
    <t>2023-07-31</t>
  </si>
  <si>
    <t>2023-05-12</t>
  </si>
  <si>
    <t>2023-05-14</t>
  </si>
  <si>
    <t>2023-06-24</t>
  </si>
  <si>
    <t>2023-01-30</t>
  </si>
  <si>
    <t>2023-03-30</t>
  </si>
  <si>
    <t>2023-08-29</t>
  </si>
  <si>
    <t>2023-03-28</t>
  </si>
  <si>
    <t>2023-09-08</t>
  </si>
  <si>
    <t>2023-08-27</t>
  </si>
  <si>
    <t>2023-02-18</t>
  </si>
  <si>
    <t>2023-09-23</t>
  </si>
  <si>
    <t>Sales Unit Price Color Guide</t>
  </si>
  <si>
    <t>300 – 600    = Medium Price (Light Orange)</t>
  </si>
  <si>
    <t>&lt; 200             Low Price (Red)</t>
  </si>
  <si>
    <t xml:space="preserve"> = Low Price (Red)</t>
  </si>
  <si>
    <t>&gt; 600             = High Price (Green)</t>
  </si>
  <si>
    <t>Logical Functions use</t>
  </si>
  <si>
    <t>(If and)logical function</t>
  </si>
  <si>
    <t>(If or)logical function</t>
  </si>
  <si>
    <t>month calculation</t>
  </si>
  <si>
    <t>total sales(sum If)</t>
  </si>
  <si>
    <t>duplicate remove</t>
  </si>
  <si>
    <t>AVERAGE SALE OF ELECTRONICS</t>
  </si>
  <si>
    <t>count if</t>
  </si>
  <si>
    <t>VLOOkUP FOMULA</t>
  </si>
  <si>
    <t>Top Product</t>
  </si>
  <si>
    <t>Top Payment Mthod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</si>
</sst>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14" fontId="0" fillId="0" borderId="0" xfId="0" applyNumberFormat="1"/>
    <xf numFmtId="0" fontId="0" fillId="3" borderId="0" xfId="0" applyFill="1"/>
    <xf numFmtId="164" fontId="0" fillId="0" borderId="2" xfId="1" applyNumberFormat="1" applyFont="1" applyBorder="1"/>
    <xf numFmtId="0" fontId="0" fillId="4" borderId="0" xfId="0" applyFill="1"/>
    <xf numFmtId="0" fontId="2" fillId="0" borderId="2" xfId="0" applyFont="1" applyBorder="1"/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1"/>
  <sheetViews>
    <sheetView tabSelected="1" topLeftCell="O1" zoomScale="101" workbookViewId="0">
      <selection activeCell="X8" sqref="X8"/>
    </sheetView>
  </sheetViews>
  <sheetFormatPr defaultRowHeight="14.4" x14ac:dyDescent="0.3"/>
  <cols>
    <col min="1" max="1" width="18.77734375" customWidth="1"/>
    <col min="2" max="3" width="21.77734375" customWidth="1"/>
    <col min="4" max="4" width="21.33203125" customWidth="1"/>
    <col min="5" max="7" width="17.88671875" customWidth="1"/>
    <col min="8" max="9" width="20.21875" customWidth="1"/>
    <col min="10" max="10" width="22.5546875" customWidth="1"/>
    <col min="11" max="11" width="15" customWidth="1"/>
    <col min="12" max="12" width="21.6640625" customWidth="1"/>
    <col min="13" max="13" width="20.88671875" customWidth="1"/>
    <col min="14" max="14" width="22.88671875" customWidth="1"/>
    <col min="15" max="15" width="21.6640625" customWidth="1"/>
    <col min="17" max="17" width="10.21875" customWidth="1"/>
    <col min="18" max="18" width="17.88671875" customWidth="1"/>
  </cols>
  <sheetData>
    <row r="1" spans="1:27" x14ac:dyDescent="0.3">
      <c r="A1" t="s">
        <v>0</v>
      </c>
      <c r="B1" t="s">
        <v>1</v>
      </c>
      <c r="C1" s="1" t="s">
        <v>659</v>
      </c>
      <c r="D1" t="s">
        <v>2</v>
      </c>
      <c r="E1" t="s">
        <v>3</v>
      </c>
      <c r="F1" s="1" t="s">
        <v>661</v>
      </c>
      <c r="G1" s="1" t="s">
        <v>660</v>
      </c>
      <c r="H1" s="1" t="s">
        <v>4</v>
      </c>
      <c r="I1" s="1" t="s">
        <v>665</v>
      </c>
      <c r="J1" s="1" t="s">
        <v>658</v>
      </c>
      <c r="K1" s="1" t="s">
        <v>6</v>
      </c>
      <c r="L1" s="1" t="s">
        <v>7</v>
      </c>
      <c r="M1" t="s">
        <v>8</v>
      </c>
      <c r="N1" s="1" t="s">
        <v>656</v>
      </c>
      <c r="O1" s="1" t="s">
        <v>657</v>
      </c>
    </row>
    <row r="2" spans="1:27" x14ac:dyDescent="0.3">
      <c r="A2" t="s">
        <v>9</v>
      </c>
      <c r="B2" s="5">
        <v>44981</v>
      </c>
      <c r="C2" s="5" t="str" cm="1">
        <f t="array" ref="C2:C301">TEXT(B2:B301,"MMMM")</f>
        <v>February</v>
      </c>
      <c r="D2" t="s">
        <v>11</v>
      </c>
      <c r="E2" t="s">
        <v>12</v>
      </c>
      <c r="F2" t="str" cm="1">
        <f t="array" ref="F2:F7">_xlfn.UNIQUE(E2:E301)</f>
        <v>Ayesha</v>
      </c>
      <c r="G2">
        <f>SUMIF($F2:$F7,F2,$M2:$M301)</f>
        <v>2132</v>
      </c>
      <c r="H2" t="s">
        <v>13</v>
      </c>
      <c r="I2">
        <f>COUNTIF($H$2:$H$301,H2)</f>
        <v>56</v>
      </c>
      <c r="J2" t="str">
        <f>IF(OR(H2="Monitor",H2="Laptop"),"Electronics","Accessories")</f>
        <v>Electronics</v>
      </c>
      <c r="K2">
        <v>4</v>
      </c>
      <c r="L2">
        <v>533</v>
      </c>
      <c r="M2">
        <f>K2*L2</f>
        <v>2132</v>
      </c>
      <c r="N2" t="str" cm="1">
        <f t="array" ref="N2:N301">IF($M2:$M301&gt;3000,"High Sales","Low Sales")</f>
        <v>Low Sales</v>
      </c>
      <c r="O2" t="str">
        <f>IF(AND(M2&gt;3000,K2&gt;5),"Top order","Normal")</f>
        <v>Normal</v>
      </c>
    </row>
    <row r="3" spans="1:27" x14ac:dyDescent="0.3">
      <c r="A3" t="s">
        <v>15</v>
      </c>
      <c r="B3" t="s">
        <v>16</v>
      </c>
      <c r="C3" t="str">
        <v>November</v>
      </c>
      <c r="D3" t="s">
        <v>11</v>
      </c>
      <c r="E3" t="s">
        <v>17</v>
      </c>
      <c r="F3" t="str">
        <v>Nabila</v>
      </c>
      <c r="G3">
        <f t="shared" ref="G3:G7" si="0">SUMIF($F3:$F8,F3,$M3:$M302)</f>
        <v>2795</v>
      </c>
      <c r="H3" t="s">
        <v>18</v>
      </c>
      <c r="I3">
        <f t="shared" ref="I3:I66" si="1">COUNTIF($H$2:$H$301,H3)</f>
        <v>55</v>
      </c>
      <c r="J3" t="str">
        <f t="shared" ref="J3:J66" si="2">IF(OR(H3="Monitor",H3="Laptop"),"Electronics","Accessories")</f>
        <v>Accessories</v>
      </c>
      <c r="K3">
        <v>5</v>
      </c>
      <c r="L3">
        <v>559</v>
      </c>
      <c r="M3">
        <v>2795</v>
      </c>
      <c r="N3" t="str">
        <v>Low Sales</v>
      </c>
      <c r="O3" t="str">
        <f t="shared" ref="O3:O66" si="3">IF(AND(M3&gt;3000,K3&gt;5),"Top order","Normal")</f>
        <v>Normal</v>
      </c>
      <c r="R3" t="s">
        <v>651</v>
      </c>
    </row>
    <row r="4" spans="1:27" x14ac:dyDescent="0.3">
      <c r="A4" t="s">
        <v>20</v>
      </c>
      <c r="B4" t="s">
        <v>21</v>
      </c>
      <c r="C4" t="str">
        <v>August</v>
      </c>
      <c r="D4" t="s">
        <v>22</v>
      </c>
      <c r="E4" t="s">
        <v>23</v>
      </c>
      <c r="F4" t="str">
        <v>Tanvir</v>
      </c>
      <c r="G4">
        <f t="shared" si="0"/>
        <v>1565</v>
      </c>
      <c r="H4" t="s">
        <v>24</v>
      </c>
      <c r="I4">
        <f t="shared" si="1"/>
        <v>61</v>
      </c>
      <c r="J4" t="str">
        <f t="shared" si="2"/>
        <v>Accessories</v>
      </c>
      <c r="K4">
        <v>5</v>
      </c>
      <c r="L4">
        <v>313</v>
      </c>
      <c r="M4">
        <v>1565</v>
      </c>
      <c r="N4" t="str">
        <v>Low Sales</v>
      </c>
      <c r="O4" t="str">
        <f t="shared" si="3"/>
        <v>Normal</v>
      </c>
      <c r="Q4" s="3"/>
      <c r="R4" s="3" t="s">
        <v>651</v>
      </c>
      <c r="S4" s="3"/>
      <c r="T4" s="3"/>
    </row>
    <row r="5" spans="1:27" x14ac:dyDescent="0.3">
      <c r="A5" t="s">
        <v>25</v>
      </c>
      <c r="B5" t="s">
        <v>26</v>
      </c>
      <c r="C5" t="str">
        <v>November</v>
      </c>
      <c r="D5" t="s">
        <v>27</v>
      </c>
      <c r="E5" t="s">
        <v>12</v>
      </c>
      <c r="F5" t="str">
        <v>Rahim</v>
      </c>
      <c r="G5">
        <f t="shared" si="0"/>
        <v>1360</v>
      </c>
      <c r="H5" t="s">
        <v>13</v>
      </c>
      <c r="I5">
        <f t="shared" si="1"/>
        <v>56</v>
      </c>
      <c r="J5" t="str">
        <f t="shared" si="2"/>
        <v>Electronics</v>
      </c>
      <c r="K5">
        <v>10</v>
      </c>
      <c r="L5">
        <v>136</v>
      </c>
      <c r="M5">
        <v>1360</v>
      </c>
      <c r="N5" t="str">
        <v>Low Sales</v>
      </c>
      <c r="O5" t="str">
        <f t="shared" si="3"/>
        <v>Normal</v>
      </c>
      <c r="Q5" s="4"/>
      <c r="R5" s="4"/>
      <c r="S5" s="4"/>
      <c r="T5" s="4"/>
    </row>
    <row r="6" spans="1:27" x14ac:dyDescent="0.3">
      <c r="A6" t="s">
        <v>28</v>
      </c>
      <c r="B6" t="s">
        <v>29</v>
      </c>
      <c r="C6" t="str">
        <v>June</v>
      </c>
      <c r="D6" t="s">
        <v>22</v>
      </c>
      <c r="E6" t="s">
        <v>17</v>
      </c>
      <c r="F6" t="str">
        <v>Sadia</v>
      </c>
      <c r="G6">
        <f t="shared" si="0"/>
        <v>486</v>
      </c>
      <c r="H6" t="s">
        <v>13</v>
      </c>
      <c r="I6">
        <f t="shared" si="1"/>
        <v>56</v>
      </c>
      <c r="J6" t="str">
        <f t="shared" si="2"/>
        <v>Electronics</v>
      </c>
      <c r="K6">
        <v>6</v>
      </c>
      <c r="L6">
        <v>81</v>
      </c>
      <c r="M6">
        <v>486</v>
      </c>
      <c r="N6" t="str">
        <v>Low Sales</v>
      </c>
      <c r="O6" t="str">
        <f t="shared" si="3"/>
        <v>Normal</v>
      </c>
      <c r="Q6" s="4" t="s">
        <v>655</v>
      </c>
      <c r="R6" s="4"/>
      <c r="S6" s="4"/>
      <c r="T6" s="4"/>
    </row>
    <row r="7" spans="1:27" x14ac:dyDescent="0.3">
      <c r="A7" t="s">
        <v>30</v>
      </c>
      <c r="B7" t="s">
        <v>31</v>
      </c>
      <c r="C7" t="str">
        <v>August</v>
      </c>
      <c r="D7" t="s">
        <v>22</v>
      </c>
      <c r="E7" t="s">
        <v>32</v>
      </c>
      <c r="F7" t="str">
        <v>Karim</v>
      </c>
      <c r="G7">
        <f t="shared" si="0"/>
        <v>5216</v>
      </c>
      <c r="H7" t="s">
        <v>33</v>
      </c>
      <c r="I7">
        <f t="shared" si="1"/>
        <v>43</v>
      </c>
      <c r="J7" t="str">
        <f t="shared" si="2"/>
        <v>Accessories</v>
      </c>
      <c r="K7">
        <v>8</v>
      </c>
      <c r="L7">
        <v>652</v>
      </c>
      <c r="M7">
        <v>5216</v>
      </c>
      <c r="N7" t="str">
        <v>High Sales</v>
      </c>
      <c r="O7" t="str">
        <f t="shared" si="3"/>
        <v>Top order</v>
      </c>
      <c r="Q7" s="4"/>
      <c r="R7" s="4"/>
      <c r="S7" s="4"/>
      <c r="T7" s="4"/>
      <c r="X7" t="str" cm="1">
        <f t="array" ref="X7:AA7">VLOOKUP(A19,$A$1:$O$301,{3,4,5,8},FALSE)</f>
        <v>June</v>
      </c>
      <c r="Y7" t="str">
        <v>Dhaka</v>
      </c>
      <c r="Z7" t="str">
        <v>Tanvir</v>
      </c>
      <c r="AA7" t="str">
        <v>Printer</v>
      </c>
    </row>
    <row r="8" spans="1:27" x14ac:dyDescent="0.3">
      <c r="A8" t="s">
        <v>34</v>
      </c>
      <c r="B8" t="s">
        <v>35</v>
      </c>
      <c r="C8" t="str">
        <v>January</v>
      </c>
      <c r="D8" t="s">
        <v>36</v>
      </c>
      <c r="E8" t="s">
        <v>17</v>
      </c>
      <c r="H8" t="s">
        <v>24</v>
      </c>
      <c r="I8">
        <f t="shared" si="1"/>
        <v>61</v>
      </c>
      <c r="J8" t="str">
        <f t="shared" si="2"/>
        <v>Accessories</v>
      </c>
      <c r="K8">
        <v>8</v>
      </c>
      <c r="L8">
        <v>267</v>
      </c>
      <c r="M8">
        <v>2136</v>
      </c>
      <c r="N8" t="str">
        <v>Low Sales</v>
      </c>
      <c r="O8" t="str">
        <f t="shared" si="3"/>
        <v>Normal</v>
      </c>
      <c r="Q8" s="4" t="s">
        <v>652</v>
      </c>
      <c r="R8" s="4"/>
      <c r="S8" s="4"/>
      <c r="T8" s="4"/>
    </row>
    <row r="9" spans="1:27" x14ac:dyDescent="0.3">
      <c r="A9" t="s">
        <v>37</v>
      </c>
      <c r="B9" t="s">
        <v>38</v>
      </c>
      <c r="C9" t="str">
        <v>November</v>
      </c>
      <c r="D9" t="s">
        <v>11</v>
      </c>
      <c r="E9" t="s">
        <v>32</v>
      </c>
      <c r="H9" t="s">
        <v>39</v>
      </c>
      <c r="I9">
        <f t="shared" si="1"/>
        <v>46</v>
      </c>
      <c r="J9" t="str">
        <f t="shared" si="2"/>
        <v>Electronics</v>
      </c>
      <c r="K9">
        <v>7</v>
      </c>
      <c r="L9">
        <v>331</v>
      </c>
      <c r="M9">
        <v>2317</v>
      </c>
      <c r="N9" t="str">
        <v>Low Sales</v>
      </c>
      <c r="O9" t="str">
        <f t="shared" si="3"/>
        <v>Normal</v>
      </c>
      <c r="Q9" s="4"/>
      <c r="R9" s="4"/>
      <c r="S9" s="4"/>
      <c r="T9" s="4"/>
    </row>
    <row r="10" spans="1:27" x14ac:dyDescent="0.3">
      <c r="A10" t="s">
        <v>40</v>
      </c>
      <c r="B10" t="s">
        <v>41</v>
      </c>
      <c r="C10" t="str">
        <v>January</v>
      </c>
      <c r="D10" t="s">
        <v>27</v>
      </c>
      <c r="E10" t="s">
        <v>42</v>
      </c>
      <c r="H10" t="s">
        <v>33</v>
      </c>
      <c r="I10">
        <f t="shared" si="1"/>
        <v>43</v>
      </c>
      <c r="J10" t="str">
        <f t="shared" si="2"/>
        <v>Accessories</v>
      </c>
      <c r="K10">
        <v>5</v>
      </c>
      <c r="L10">
        <v>98</v>
      </c>
      <c r="M10">
        <v>490</v>
      </c>
      <c r="N10" t="str">
        <v>Low Sales</v>
      </c>
      <c r="O10" t="str">
        <f t="shared" si="3"/>
        <v>Normal</v>
      </c>
      <c r="Q10" s="4" t="s">
        <v>653</v>
      </c>
      <c r="R10" s="4" t="s">
        <v>654</v>
      </c>
      <c r="S10" s="4"/>
      <c r="T10" s="4"/>
    </row>
    <row r="11" spans="1:27" x14ac:dyDescent="0.3">
      <c r="A11" t="s">
        <v>43</v>
      </c>
      <c r="B11" t="s">
        <v>44</v>
      </c>
      <c r="C11" t="str">
        <v>November</v>
      </c>
      <c r="D11" t="s">
        <v>45</v>
      </c>
      <c r="E11" t="s">
        <v>12</v>
      </c>
      <c r="H11" t="s">
        <v>18</v>
      </c>
      <c r="I11">
        <f t="shared" si="1"/>
        <v>55</v>
      </c>
      <c r="J11" t="str">
        <f t="shared" si="2"/>
        <v>Accessories</v>
      </c>
      <c r="K11">
        <v>9</v>
      </c>
      <c r="L11">
        <v>346</v>
      </c>
      <c r="M11">
        <v>3114</v>
      </c>
      <c r="N11" t="str">
        <v>High Sales</v>
      </c>
      <c r="O11" t="str">
        <f t="shared" si="3"/>
        <v>Top order</v>
      </c>
    </row>
    <row r="12" spans="1:27" x14ac:dyDescent="0.3">
      <c r="A12" t="s">
        <v>46</v>
      </c>
      <c r="B12" t="s">
        <v>47</v>
      </c>
      <c r="C12" t="str">
        <v>June</v>
      </c>
      <c r="D12" t="s">
        <v>36</v>
      </c>
      <c r="E12" t="s">
        <v>12</v>
      </c>
      <c r="H12" t="s">
        <v>39</v>
      </c>
      <c r="I12">
        <f t="shared" si="1"/>
        <v>46</v>
      </c>
      <c r="J12" t="str">
        <f t="shared" si="2"/>
        <v>Electronics</v>
      </c>
      <c r="K12">
        <v>3</v>
      </c>
      <c r="L12">
        <v>619</v>
      </c>
      <c r="M12">
        <v>1857</v>
      </c>
      <c r="N12" t="str">
        <v>Low Sales</v>
      </c>
      <c r="O12" t="str">
        <f t="shared" si="3"/>
        <v>Normal</v>
      </c>
    </row>
    <row r="13" spans="1:27" x14ac:dyDescent="0.3">
      <c r="A13" t="s">
        <v>48</v>
      </c>
      <c r="B13" t="s">
        <v>49</v>
      </c>
      <c r="C13" t="str">
        <v>May</v>
      </c>
      <c r="D13" t="s">
        <v>22</v>
      </c>
      <c r="E13" t="s">
        <v>42</v>
      </c>
      <c r="H13" t="s">
        <v>24</v>
      </c>
      <c r="I13">
        <f t="shared" si="1"/>
        <v>61</v>
      </c>
      <c r="J13" t="str">
        <f t="shared" si="2"/>
        <v>Accessories</v>
      </c>
      <c r="K13">
        <v>7</v>
      </c>
      <c r="L13">
        <v>746</v>
      </c>
      <c r="M13">
        <v>5222</v>
      </c>
      <c r="N13" t="str">
        <v>High Sales</v>
      </c>
      <c r="O13" t="str">
        <f t="shared" si="3"/>
        <v>Top order</v>
      </c>
    </row>
    <row r="14" spans="1:27" x14ac:dyDescent="0.3">
      <c r="A14" t="s">
        <v>50</v>
      </c>
      <c r="B14" t="s">
        <v>51</v>
      </c>
      <c r="C14" t="str">
        <v>June</v>
      </c>
      <c r="D14" t="s">
        <v>27</v>
      </c>
      <c r="E14" t="s">
        <v>32</v>
      </c>
      <c r="H14" t="s">
        <v>24</v>
      </c>
      <c r="I14">
        <f t="shared" si="1"/>
        <v>61</v>
      </c>
      <c r="J14" t="str">
        <f t="shared" si="2"/>
        <v>Accessories</v>
      </c>
      <c r="K14">
        <v>7</v>
      </c>
      <c r="L14">
        <v>27</v>
      </c>
      <c r="M14">
        <v>189</v>
      </c>
      <c r="N14" t="str">
        <v>Low Sales</v>
      </c>
      <c r="O14" t="str">
        <f t="shared" si="3"/>
        <v>Normal</v>
      </c>
    </row>
    <row r="15" spans="1:27" x14ac:dyDescent="0.3">
      <c r="A15" t="s">
        <v>52</v>
      </c>
      <c r="B15" t="s">
        <v>53</v>
      </c>
      <c r="C15" t="str">
        <v>April</v>
      </c>
      <c r="D15" t="s">
        <v>36</v>
      </c>
      <c r="E15" t="s">
        <v>23</v>
      </c>
      <c r="H15" t="s">
        <v>13</v>
      </c>
      <c r="I15">
        <f t="shared" si="1"/>
        <v>56</v>
      </c>
      <c r="J15" t="str">
        <f t="shared" si="2"/>
        <v>Electronics</v>
      </c>
      <c r="K15">
        <v>8</v>
      </c>
      <c r="L15">
        <v>755</v>
      </c>
      <c r="M15">
        <v>6040</v>
      </c>
      <c r="N15" t="str">
        <v>High Sales</v>
      </c>
      <c r="O15" t="str">
        <f t="shared" si="3"/>
        <v>Top order</v>
      </c>
    </row>
    <row r="16" spans="1:27" x14ac:dyDescent="0.3">
      <c r="A16" t="s">
        <v>54</v>
      </c>
      <c r="B16" t="s">
        <v>55</v>
      </c>
      <c r="C16" t="str">
        <v>March</v>
      </c>
      <c r="D16" t="s">
        <v>36</v>
      </c>
      <c r="E16" t="s">
        <v>32</v>
      </c>
      <c r="H16" t="s">
        <v>18</v>
      </c>
      <c r="I16">
        <f t="shared" si="1"/>
        <v>55</v>
      </c>
      <c r="J16" t="str">
        <f t="shared" si="2"/>
        <v>Accessories</v>
      </c>
      <c r="K16">
        <v>2</v>
      </c>
      <c r="L16">
        <v>515</v>
      </c>
      <c r="M16">
        <v>1030</v>
      </c>
      <c r="N16" t="str">
        <v>Low Sales</v>
      </c>
      <c r="O16" t="str">
        <f t="shared" si="3"/>
        <v>Normal</v>
      </c>
      <c r="T16" s="2"/>
    </row>
    <row r="17" spans="1:15" x14ac:dyDescent="0.3">
      <c r="A17" t="s">
        <v>56</v>
      </c>
      <c r="B17" t="s">
        <v>57</v>
      </c>
      <c r="C17" t="str">
        <v>August</v>
      </c>
      <c r="D17" t="s">
        <v>22</v>
      </c>
      <c r="E17" t="s">
        <v>58</v>
      </c>
      <c r="H17" t="s">
        <v>13</v>
      </c>
      <c r="I17">
        <f t="shared" si="1"/>
        <v>56</v>
      </c>
      <c r="J17" t="str">
        <f t="shared" si="2"/>
        <v>Electronics</v>
      </c>
      <c r="K17">
        <v>4</v>
      </c>
      <c r="L17">
        <v>196</v>
      </c>
      <c r="M17">
        <v>784</v>
      </c>
      <c r="N17" t="str">
        <v>Low Sales</v>
      </c>
      <c r="O17" t="str">
        <f t="shared" si="3"/>
        <v>Normal</v>
      </c>
    </row>
    <row r="18" spans="1:15" x14ac:dyDescent="0.3">
      <c r="A18" t="s">
        <v>59</v>
      </c>
      <c r="B18" t="s">
        <v>44</v>
      </c>
      <c r="C18" t="str">
        <v>November</v>
      </c>
      <c r="D18" t="s">
        <v>22</v>
      </c>
      <c r="E18" t="s">
        <v>58</v>
      </c>
      <c r="H18" t="s">
        <v>24</v>
      </c>
      <c r="I18">
        <f t="shared" si="1"/>
        <v>61</v>
      </c>
      <c r="J18" t="str">
        <f t="shared" si="2"/>
        <v>Accessories</v>
      </c>
      <c r="K18">
        <v>10</v>
      </c>
      <c r="L18">
        <v>164</v>
      </c>
      <c r="M18">
        <v>1640</v>
      </c>
      <c r="N18" t="str">
        <v>Low Sales</v>
      </c>
      <c r="O18" t="str">
        <f t="shared" si="3"/>
        <v>Normal</v>
      </c>
    </row>
    <row r="19" spans="1:15" x14ac:dyDescent="0.3">
      <c r="A19" t="s">
        <v>60</v>
      </c>
      <c r="B19" t="s">
        <v>61</v>
      </c>
      <c r="C19" t="str">
        <v>June</v>
      </c>
      <c r="D19" t="s">
        <v>36</v>
      </c>
      <c r="E19" t="s">
        <v>23</v>
      </c>
      <c r="H19" t="s">
        <v>33</v>
      </c>
      <c r="I19">
        <f t="shared" si="1"/>
        <v>43</v>
      </c>
      <c r="J19" t="str">
        <f t="shared" si="2"/>
        <v>Accessories</v>
      </c>
      <c r="K19">
        <v>7</v>
      </c>
      <c r="L19">
        <v>311</v>
      </c>
      <c r="M19">
        <v>2177</v>
      </c>
      <c r="N19" t="str">
        <v>Low Sales</v>
      </c>
      <c r="O19" t="str">
        <f t="shared" si="3"/>
        <v>Normal</v>
      </c>
    </row>
    <row r="20" spans="1:15" x14ac:dyDescent="0.3">
      <c r="A20" t="s">
        <v>62</v>
      </c>
      <c r="B20" t="s">
        <v>63</v>
      </c>
      <c r="C20" t="str">
        <v>September</v>
      </c>
      <c r="D20" t="s">
        <v>36</v>
      </c>
      <c r="E20" t="s">
        <v>17</v>
      </c>
      <c r="H20" t="s">
        <v>13</v>
      </c>
      <c r="I20">
        <f t="shared" si="1"/>
        <v>56</v>
      </c>
      <c r="J20" t="str">
        <f t="shared" si="2"/>
        <v>Electronics</v>
      </c>
      <c r="K20">
        <v>9</v>
      </c>
      <c r="L20">
        <v>323</v>
      </c>
      <c r="M20">
        <v>2907</v>
      </c>
      <c r="N20" t="str">
        <v>Low Sales</v>
      </c>
      <c r="O20" t="str">
        <f t="shared" si="3"/>
        <v>Normal</v>
      </c>
    </row>
    <row r="21" spans="1:15" x14ac:dyDescent="0.3">
      <c r="A21" t="s">
        <v>64</v>
      </c>
      <c r="B21" t="s">
        <v>65</v>
      </c>
      <c r="C21" t="str">
        <v>March</v>
      </c>
      <c r="D21" t="s">
        <v>22</v>
      </c>
      <c r="E21" t="s">
        <v>17</v>
      </c>
      <c r="H21" t="s">
        <v>39</v>
      </c>
      <c r="I21">
        <f t="shared" si="1"/>
        <v>46</v>
      </c>
      <c r="J21" t="str">
        <f t="shared" si="2"/>
        <v>Electronics</v>
      </c>
      <c r="K21">
        <v>1</v>
      </c>
      <c r="L21">
        <v>498</v>
      </c>
      <c r="M21">
        <v>498</v>
      </c>
      <c r="N21" t="str">
        <v>Low Sales</v>
      </c>
      <c r="O21" t="str">
        <f t="shared" si="3"/>
        <v>Normal</v>
      </c>
    </row>
    <row r="22" spans="1:15" x14ac:dyDescent="0.3">
      <c r="A22" t="s">
        <v>66</v>
      </c>
      <c r="B22" t="s">
        <v>67</v>
      </c>
      <c r="C22" t="str">
        <v>December</v>
      </c>
      <c r="D22" t="s">
        <v>22</v>
      </c>
      <c r="E22" t="s">
        <v>42</v>
      </c>
      <c r="H22" t="s">
        <v>13</v>
      </c>
      <c r="I22">
        <f t="shared" si="1"/>
        <v>56</v>
      </c>
      <c r="J22" t="str">
        <f t="shared" si="2"/>
        <v>Electronics</v>
      </c>
      <c r="K22">
        <v>8</v>
      </c>
      <c r="L22">
        <v>533</v>
      </c>
      <c r="M22">
        <v>4264</v>
      </c>
      <c r="N22" t="str">
        <v>High Sales</v>
      </c>
      <c r="O22" t="str">
        <f t="shared" si="3"/>
        <v>Top order</v>
      </c>
    </row>
    <row r="23" spans="1:15" x14ac:dyDescent="0.3">
      <c r="A23" t="s">
        <v>68</v>
      </c>
      <c r="B23" t="s">
        <v>69</v>
      </c>
      <c r="C23" t="str">
        <v>September</v>
      </c>
      <c r="D23" t="s">
        <v>27</v>
      </c>
      <c r="E23" t="s">
        <v>32</v>
      </c>
      <c r="H23" t="s">
        <v>18</v>
      </c>
      <c r="I23">
        <f t="shared" si="1"/>
        <v>55</v>
      </c>
      <c r="J23" t="str">
        <f t="shared" si="2"/>
        <v>Accessories</v>
      </c>
      <c r="K23">
        <v>3</v>
      </c>
      <c r="L23">
        <v>274</v>
      </c>
      <c r="M23">
        <v>822</v>
      </c>
      <c r="N23" t="str">
        <v>Low Sales</v>
      </c>
      <c r="O23" t="str">
        <f t="shared" si="3"/>
        <v>Normal</v>
      </c>
    </row>
    <row r="24" spans="1:15" x14ac:dyDescent="0.3">
      <c r="A24" t="s">
        <v>70</v>
      </c>
      <c r="B24" t="s">
        <v>71</v>
      </c>
      <c r="C24" t="str">
        <v>February</v>
      </c>
      <c r="D24" t="s">
        <v>27</v>
      </c>
      <c r="E24" t="s">
        <v>23</v>
      </c>
      <c r="H24" t="s">
        <v>33</v>
      </c>
      <c r="I24">
        <f t="shared" si="1"/>
        <v>43</v>
      </c>
      <c r="J24" t="str">
        <f t="shared" si="2"/>
        <v>Accessories</v>
      </c>
      <c r="K24">
        <v>3</v>
      </c>
      <c r="L24">
        <v>488</v>
      </c>
      <c r="M24">
        <v>1464</v>
      </c>
      <c r="N24" t="str">
        <v>Low Sales</v>
      </c>
      <c r="O24" t="str">
        <f t="shared" si="3"/>
        <v>Normal</v>
      </c>
    </row>
    <row r="25" spans="1:15" x14ac:dyDescent="0.3">
      <c r="A25" t="s">
        <v>72</v>
      </c>
      <c r="B25" t="s">
        <v>73</v>
      </c>
      <c r="C25" t="str">
        <v>March</v>
      </c>
      <c r="D25" t="s">
        <v>27</v>
      </c>
      <c r="E25" t="s">
        <v>23</v>
      </c>
      <c r="H25" t="s">
        <v>74</v>
      </c>
      <c r="I25">
        <f t="shared" si="1"/>
        <v>39</v>
      </c>
      <c r="J25" t="str">
        <f t="shared" si="2"/>
        <v>Accessories</v>
      </c>
      <c r="K25">
        <v>4</v>
      </c>
      <c r="L25">
        <v>668</v>
      </c>
      <c r="M25">
        <v>2672</v>
      </c>
      <c r="N25" t="str">
        <v>Low Sales</v>
      </c>
      <c r="O25" t="str">
        <f t="shared" si="3"/>
        <v>Normal</v>
      </c>
    </row>
    <row r="26" spans="1:15" x14ac:dyDescent="0.3">
      <c r="A26" t="s">
        <v>75</v>
      </c>
      <c r="B26" t="s">
        <v>76</v>
      </c>
      <c r="C26" t="str">
        <v>September</v>
      </c>
      <c r="D26" t="s">
        <v>27</v>
      </c>
      <c r="E26" t="s">
        <v>17</v>
      </c>
      <c r="H26" t="s">
        <v>24</v>
      </c>
      <c r="I26">
        <f t="shared" si="1"/>
        <v>61</v>
      </c>
      <c r="J26" t="str">
        <f t="shared" si="2"/>
        <v>Accessories</v>
      </c>
      <c r="K26">
        <v>10</v>
      </c>
      <c r="L26">
        <v>781</v>
      </c>
      <c r="M26">
        <v>7810</v>
      </c>
      <c r="N26" t="str">
        <v>High Sales</v>
      </c>
      <c r="O26" t="str">
        <f t="shared" si="3"/>
        <v>Top order</v>
      </c>
    </row>
    <row r="27" spans="1:15" x14ac:dyDescent="0.3">
      <c r="A27" t="s">
        <v>77</v>
      </c>
      <c r="B27" t="s">
        <v>78</v>
      </c>
      <c r="C27" t="str">
        <v>August</v>
      </c>
      <c r="D27" t="s">
        <v>45</v>
      </c>
      <c r="E27" t="s">
        <v>23</v>
      </c>
      <c r="H27" t="s">
        <v>74</v>
      </c>
      <c r="I27">
        <f t="shared" si="1"/>
        <v>39</v>
      </c>
      <c r="J27" t="str">
        <f t="shared" si="2"/>
        <v>Accessories</v>
      </c>
      <c r="K27">
        <v>4</v>
      </c>
      <c r="L27">
        <v>697</v>
      </c>
      <c r="M27">
        <v>2788</v>
      </c>
      <c r="N27" t="str">
        <v>Low Sales</v>
      </c>
      <c r="O27" t="str">
        <f t="shared" si="3"/>
        <v>Normal</v>
      </c>
    </row>
    <row r="28" spans="1:15" x14ac:dyDescent="0.3">
      <c r="A28" t="s">
        <v>79</v>
      </c>
      <c r="B28" t="s">
        <v>80</v>
      </c>
      <c r="C28" t="str">
        <v>August</v>
      </c>
      <c r="D28" t="s">
        <v>22</v>
      </c>
      <c r="E28" t="s">
        <v>12</v>
      </c>
      <c r="H28" t="s">
        <v>18</v>
      </c>
      <c r="I28">
        <f t="shared" si="1"/>
        <v>55</v>
      </c>
      <c r="J28" t="str">
        <f t="shared" si="2"/>
        <v>Accessories</v>
      </c>
      <c r="K28">
        <v>9</v>
      </c>
      <c r="L28">
        <v>348</v>
      </c>
      <c r="M28">
        <v>3132</v>
      </c>
      <c r="N28" t="str">
        <v>High Sales</v>
      </c>
      <c r="O28" t="str">
        <f t="shared" si="3"/>
        <v>Top order</v>
      </c>
    </row>
    <row r="29" spans="1:15" x14ac:dyDescent="0.3">
      <c r="A29" t="s">
        <v>81</v>
      </c>
      <c r="B29" t="s">
        <v>82</v>
      </c>
      <c r="C29" t="str">
        <v>July</v>
      </c>
      <c r="D29" t="s">
        <v>45</v>
      </c>
      <c r="E29" t="s">
        <v>23</v>
      </c>
      <c r="H29" t="s">
        <v>13</v>
      </c>
      <c r="I29">
        <f t="shared" si="1"/>
        <v>56</v>
      </c>
      <c r="J29" t="str">
        <f t="shared" si="2"/>
        <v>Electronics</v>
      </c>
      <c r="K29">
        <v>7</v>
      </c>
      <c r="L29">
        <v>65</v>
      </c>
      <c r="M29">
        <v>455</v>
      </c>
      <c r="N29" t="str">
        <v>Low Sales</v>
      </c>
      <c r="O29" t="str">
        <f t="shared" si="3"/>
        <v>Normal</v>
      </c>
    </row>
    <row r="30" spans="1:15" x14ac:dyDescent="0.3">
      <c r="A30" t="s">
        <v>83</v>
      </c>
      <c r="B30" t="s">
        <v>84</v>
      </c>
      <c r="C30" t="str">
        <v>July</v>
      </c>
      <c r="D30" t="s">
        <v>27</v>
      </c>
      <c r="E30" t="s">
        <v>42</v>
      </c>
      <c r="H30" t="s">
        <v>13</v>
      </c>
      <c r="I30">
        <f t="shared" si="1"/>
        <v>56</v>
      </c>
      <c r="J30" t="str">
        <f t="shared" si="2"/>
        <v>Electronics</v>
      </c>
      <c r="K30">
        <v>10</v>
      </c>
      <c r="L30">
        <v>412</v>
      </c>
      <c r="M30">
        <v>4120</v>
      </c>
      <c r="N30" t="str">
        <v>High Sales</v>
      </c>
      <c r="O30" t="str">
        <f t="shared" si="3"/>
        <v>Top order</v>
      </c>
    </row>
    <row r="31" spans="1:15" x14ac:dyDescent="0.3">
      <c r="A31" t="s">
        <v>85</v>
      </c>
      <c r="B31" t="s">
        <v>86</v>
      </c>
      <c r="C31" t="str">
        <v>February</v>
      </c>
      <c r="D31" t="s">
        <v>27</v>
      </c>
      <c r="E31" t="s">
        <v>32</v>
      </c>
      <c r="H31" t="s">
        <v>13</v>
      </c>
      <c r="I31">
        <f t="shared" si="1"/>
        <v>56</v>
      </c>
      <c r="J31" t="str">
        <f t="shared" si="2"/>
        <v>Electronics</v>
      </c>
      <c r="K31">
        <v>10</v>
      </c>
      <c r="L31">
        <v>387</v>
      </c>
      <c r="M31">
        <v>3870</v>
      </c>
      <c r="N31" t="str">
        <v>High Sales</v>
      </c>
      <c r="O31" t="str">
        <f t="shared" si="3"/>
        <v>Top order</v>
      </c>
    </row>
    <row r="32" spans="1:15" x14ac:dyDescent="0.3">
      <c r="A32" t="s">
        <v>87</v>
      </c>
      <c r="B32" t="s">
        <v>88</v>
      </c>
      <c r="C32" t="str">
        <v>December</v>
      </c>
      <c r="D32" t="s">
        <v>27</v>
      </c>
      <c r="E32" t="s">
        <v>12</v>
      </c>
      <c r="H32" t="s">
        <v>33</v>
      </c>
      <c r="I32">
        <f t="shared" si="1"/>
        <v>43</v>
      </c>
      <c r="J32" t="str">
        <f t="shared" si="2"/>
        <v>Accessories</v>
      </c>
      <c r="K32">
        <v>1</v>
      </c>
      <c r="L32">
        <v>100</v>
      </c>
      <c r="M32">
        <v>100</v>
      </c>
      <c r="N32" t="str">
        <v>Low Sales</v>
      </c>
      <c r="O32" t="str">
        <f t="shared" si="3"/>
        <v>Normal</v>
      </c>
    </row>
    <row r="33" spans="1:15" x14ac:dyDescent="0.3">
      <c r="A33" t="s">
        <v>89</v>
      </c>
      <c r="B33" t="s">
        <v>90</v>
      </c>
      <c r="C33" t="str">
        <v>April</v>
      </c>
      <c r="D33" t="s">
        <v>11</v>
      </c>
      <c r="E33" t="s">
        <v>12</v>
      </c>
      <c r="H33" t="s">
        <v>33</v>
      </c>
      <c r="I33">
        <f t="shared" si="1"/>
        <v>43</v>
      </c>
      <c r="J33" t="str">
        <f t="shared" si="2"/>
        <v>Accessories</v>
      </c>
      <c r="K33">
        <v>5</v>
      </c>
      <c r="L33">
        <v>196</v>
      </c>
      <c r="M33">
        <v>980</v>
      </c>
      <c r="N33" t="str">
        <v>Low Sales</v>
      </c>
      <c r="O33" t="str">
        <f t="shared" si="3"/>
        <v>Normal</v>
      </c>
    </row>
    <row r="34" spans="1:15" x14ac:dyDescent="0.3">
      <c r="A34" t="s">
        <v>91</v>
      </c>
      <c r="B34" t="s">
        <v>80</v>
      </c>
      <c r="C34" t="str">
        <v>August</v>
      </c>
      <c r="D34" t="s">
        <v>11</v>
      </c>
      <c r="E34" t="s">
        <v>58</v>
      </c>
      <c r="H34" t="s">
        <v>39</v>
      </c>
      <c r="I34">
        <f t="shared" si="1"/>
        <v>46</v>
      </c>
      <c r="J34" t="str">
        <f t="shared" si="2"/>
        <v>Electronics</v>
      </c>
      <c r="K34">
        <v>1</v>
      </c>
      <c r="L34">
        <v>161</v>
      </c>
      <c r="M34">
        <v>161</v>
      </c>
      <c r="N34" t="str">
        <v>Low Sales</v>
      </c>
      <c r="O34" t="str">
        <f t="shared" si="3"/>
        <v>Normal</v>
      </c>
    </row>
    <row r="35" spans="1:15" x14ac:dyDescent="0.3">
      <c r="A35" t="s">
        <v>92</v>
      </c>
      <c r="B35" t="s">
        <v>93</v>
      </c>
      <c r="C35" t="str">
        <v>December</v>
      </c>
      <c r="D35" t="s">
        <v>27</v>
      </c>
      <c r="E35" t="s">
        <v>17</v>
      </c>
      <c r="H35" t="s">
        <v>39</v>
      </c>
      <c r="I35">
        <f t="shared" si="1"/>
        <v>46</v>
      </c>
      <c r="J35" t="str">
        <f t="shared" si="2"/>
        <v>Electronics</v>
      </c>
      <c r="K35">
        <v>6</v>
      </c>
      <c r="L35">
        <v>382</v>
      </c>
      <c r="M35">
        <v>2292</v>
      </c>
      <c r="N35" t="str">
        <v>Low Sales</v>
      </c>
      <c r="O35" t="str">
        <f t="shared" si="3"/>
        <v>Normal</v>
      </c>
    </row>
    <row r="36" spans="1:15" x14ac:dyDescent="0.3">
      <c r="A36" t="s">
        <v>94</v>
      </c>
      <c r="B36" t="s">
        <v>95</v>
      </c>
      <c r="C36" t="str">
        <v>January</v>
      </c>
      <c r="D36" t="s">
        <v>36</v>
      </c>
      <c r="E36" t="s">
        <v>23</v>
      </c>
      <c r="H36" t="s">
        <v>33</v>
      </c>
      <c r="I36">
        <f t="shared" si="1"/>
        <v>43</v>
      </c>
      <c r="J36" t="str">
        <f t="shared" si="2"/>
        <v>Accessories</v>
      </c>
      <c r="K36">
        <v>6</v>
      </c>
      <c r="L36">
        <v>220</v>
      </c>
      <c r="M36">
        <v>1320</v>
      </c>
      <c r="N36" t="str">
        <v>Low Sales</v>
      </c>
      <c r="O36" t="str">
        <f t="shared" si="3"/>
        <v>Normal</v>
      </c>
    </row>
    <row r="37" spans="1:15" x14ac:dyDescent="0.3">
      <c r="A37" t="s">
        <v>96</v>
      </c>
      <c r="B37" t="s">
        <v>97</v>
      </c>
      <c r="C37" t="str">
        <v>July</v>
      </c>
      <c r="D37" t="s">
        <v>45</v>
      </c>
      <c r="E37" t="s">
        <v>58</v>
      </c>
      <c r="H37" t="s">
        <v>33</v>
      </c>
      <c r="I37">
        <f t="shared" si="1"/>
        <v>43</v>
      </c>
      <c r="J37" t="str">
        <f t="shared" si="2"/>
        <v>Accessories</v>
      </c>
      <c r="K37">
        <v>3</v>
      </c>
      <c r="L37">
        <v>546</v>
      </c>
      <c r="M37">
        <v>1638</v>
      </c>
      <c r="N37" t="str">
        <v>Low Sales</v>
      </c>
      <c r="O37" t="str">
        <f t="shared" si="3"/>
        <v>Normal</v>
      </c>
    </row>
    <row r="38" spans="1:15" x14ac:dyDescent="0.3">
      <c r="A38" t="s">
        <v>98</v>
      </c>
      <c r="B38" t="s">
        <v>99</v>
      </c>
      <c r="C38" t="str">
        <v>January</v>
      </c>
      <c r="D38" t="s">
        <v>11</v>
      </c>
      <c r="E38" t="s">
        <v>17</v>
      </c>
      <c r="H38" t="s">
        <v>18</v>
      </c>
      <c r="I38">
        <f t="shared" si="1"/>
        <v>55</v>
      </c>
      <c r="J38" t="str">
        <f t="shared" si="2"/>
        <v>Accessories</v>
      </c>
      <c r="K38">
        <v>5</v>
      </c>
      <c r="L38">
        <v>556</v>
      </c>
      <c r="M38">
        <v>2780</v>
      </c>
      <c r="N38" t="str">
        <v>Low Sales</v>
      </c>
      <c r="O38" t="str">
        <f t="shared" si="3"/>
        <v>Normal</v>
      </c>
    </row>
    <row r="39" spans="1:15" x14ac:dyDescent="0.3">
      <c r="A39" t="s">
        <v>100</v>
      </c>
      <c r="B39" t="s">
        <v>101</v>
      </c>
      <c r="C39" t="str">
        <v>March</v>
      </c>
      <c r="D39" t="s">
        <v>22</v>
      </c>
      <c r="E39" t="s">
        <v>58</v>
      </c>
      <c r="H39" t="s">
        <v>39</v>
      </c>
      <c r="I39">
        <f t="shared" si="1"/>
        <v>46</v>
      </c>
      <c r="J39" t="str">
        <f t="shared" si="2"/>
        <v>Electronics</v>
      </c>
      <c r="K39">
        <v>10</v>
      </c>
      <c r="L39">
        <v>32</v>
      </c>
      <c r="M39">
        <v>320</v>
      </c>
      <c r="N39" t="str">
        <v>Low Sales</v>
      </c>
      <c r="O39" t="str">
        <f t="shared" si="3"/>
        <v>Normal</v>
      </c>
    </row>
    <row r="40" spans="1:15" x14ac:dyDescent="0.3">
      <c r="A40" t="s">
        <v>102</v>
      </c>
      <c r="B40" t="s">
        <v>103</v>
      </c>
      <c r="C40" t="str">
        <v>August</v>
      </c>
      <c r="D40" t="s">
        <v>36</v>
      </c>
      <c r="E40" t="s">
        <v>58</v>
      </c>
      <c r="H40" t="s">
        <v>39</v>
      </c>
      <c r="I40">
        <f t="shared" si="1"/>
        <v>46</v>
      </c>
      <c r="J40" t="str">
        <f t="shared" si="2"/>
        <v>Electronics</v>
      </c>
      <c r="K40">
        <v>2</v>
      </c>
      <c r="L40">
        <v>458</v>
      </c>
      <c r="M40">
        <v>916</v>
      </c>
      <c r="N40" t="str">
        <v>Low Sales</v>
      </c>
      <c r="O40" t="str">
        <f t="shared" si="3"/>
        <v>Normal</v>
      </c>
    </row>
    <row r="41" spans="1:15" x14ac:dyDescent="0.3">
      <c r="A41" t="s">
        <v>104</v>
      </c>
      <c r="B41" t="s">
        <v>105</v>
      </c>
      <c r="C41" t="str">
        <v>October</v>
      </c>
      <c r="D41" t="s">
        <v>27</v>
      </c>
      <c r="E41" t="s">
        <v>23</v>
      </c>
      <c r="H41" t="s">
        <v>24</v>
      </c>
      <c r="I41">
        <f t="shared" si="1"/>
        <v>61</v>
      </c>
      <c r="J41" t="str">
        <f t="shared" si="2"/>
        <v>Accessories</v>
      </c>
      <c r="K41">
        <v>10</v>
      </c>
      <c r="L41">
        <v>187</v>
      </c>
      <c r="M41">
        <v>1870</v>
      </c>
      <c r="N41" t="str">
        <v>Low Sales</v>
      </c>
      <c r="O41" t="str">
        <f t="shared" si="3"/>
        <v>Normal</v>
      </c>
    </row>
    <row r="42" spans="1:15" x14ac:dyDescent="0.3">
      <c r="A42" t="s">
        <v>106</v>
      </c>
      <c r="B42" t="s">
        <v>107</v>
      </c>
      <c r="C42" t="str">
        <v>June</v>
      </c>
      <c r="D42" t="s">
        <v>36</v>
      </c>
      <c r="E42" t="s">
        <v>58</v>
      </c>
      <c r="H42" t="s">
        <v>74</v>
      </c>
      <c r="I42">
        <f t="shared" si="1"/>
        <v>39</v>
      </c>
      <c r="J42" t="str">
        <f t="shared" si="2"/>
        <v>Accessories</v>
      </c>
      <c r="K42">
        <v>6</v>
      </c>
      <c r="L42">
        <v>787</v>
      </c>
      <c r="M42">
        <v>4722</v>
      </c>
      <c r="N42" t="str">
        <v>High Sales</v>
      </c>
      <c r="O42" t="str">
        <f t="shared" si="3"/>
        <v>Top order</v>
      </c>
    </row>
    <row r="43" spans="1:15" x14ac:dyDescent="0.3">
      <c r="A43" t="s">
        <v>108</v>
      </c>
      <c r="B43" t="s">
        <v>109</v>
      </c>
      <c r="C43" t="str">
        <v>October</v>
      </c>
      <c r="D43" t="s">
        <v>11</v>
      </c>
      <c r="E43" t="s">
        <v>23</v>
      </c>
      <c r="H43" t="s">
        <v>13</v>
      </c>
      <c r="I43">
        <f t="shared" si="1"/>
        <v>56</v>
      </c>
      <c r="J43" t="str">
        <f t="shared" si="2"/>
        <v>Electronics</v>
      </c>
      <c r="K43">
        <v>9</v>
      </c>
      <c r="L43">
        <v>410</v>
      </c>
      <c r="M43">
        <v>3690</v>
      </c>
      <c r="N43" t="str">
        <v>High Sales</v>
      </c>
      <c r="O43" t="str">
        <f t="shared" si="3"/>
        <v>Top order</v>
      </c>
    </row>
    <row r="44" spans="1:15" x14ac:dyDescent="0.3">
      <c r="A44" t="s">
        <v>110</v>
      </c>
      <c r="B44" t="s">
        <v>111</v>
      </c>
      <c r="C44" t="str">
        <v>July</v>
      </c>
      <c r="D44" t="s">
        <v>22</v>
      </c>
      <c r="E44" t="s">
        <v>32</v>
      </c>
      <c r="H44" t="s">
        <v>18</v>
      </c>
      <c r="I44">
        <f t="shared" si="1"/>
        <v>55</v>
      </c>
      <c r="J44" t="str">
        <f t="shared" si="2"/>
        <v>Accessories</v>
      </c>
      <c r="K44">
        <v>10</v>
      </c>
      <c r="L44">
        <v>27</v>
      </c>
      <c r="M44">
        <v>270</v>
      </c>
      <c r="N44" t="str">
        <v>Low Sales</v>
      </c>
      <c r="O44" t="str">
        <f t="shared" si="3"/>
        <v>Normal</v>
      </c>
    </row>
    <row r="45" spans="1:15" x14ac:dyDescent="0.3">
      <c r="A45" t="s">
        <v>112</v>
      </c>
      <c r="B45" t="s">
        <v>113</v>
      </c>
      <c r="C45" t="str">
        <v>October</v>
      </c>
      <c r="D45" t="s">
        <v>36</v>
      </c>
      <c r="E45" t="s">
        <v>12</v>
      </c>
      <c r="H45" t="s">
        <v>18</v>
      </c>
      <c r="I45">
        <f t="shared" si="1"/>
        <v>55</v>
      </c>
      <c r="J45" t="str">
        <f t="shared" si="2"/>
        <v>Accessories</v>
      </c>
      <c r="K45">
        <v>10</v>
      </c>
      <c r="L45">
        <v>769</v>
      </c>
      <c r="M45">
        <v>7690</v>
      </c>
      <c r="N45" t="str">
        <v>High Sales</v>
      </c>
      <c r="O45" t="str">
        <f t="shared" si="3"/>
        <v>Top order</v>
      </c>
    </row>
    <row r="46" spans="1:15" x14ac:dyDescent="0.3">
      <c r="A46" t="s">
        <v>114</v>
      </c>
      <c r="B46" t="s">
        <v>115</v>
      </c>
      <c r="C46" t="str">
        <v>October</v>
      </c>
      <c r="D46" t="s">
        <v>11</v>
      </c>
      <c r="E46" t="s">
        <v>42</v>
      </c>
      <c r="H46" t="s">
        <v>13</v>
      </c>
      <c r="I46">
        <f t="shared" si="1"/>
        <v>56</v>
      </c>
      <c r="J46" t="str">
        <f t="shared" si="2"/>
        <v>Electronics</v>
      </c>
      <c r="K46">
        <v>3</v>
      </c>
      <c r="L46">
        <v>23</v>
      </c>
      <c r="M46">
        <v>69</v>
      </c>
      <c r="N46" t="str">
        <v>Low Sales</v>
      </c>
      <c r="O46" t="str">
        <f t="shared" si="3"/>
        <v>Normal</v>
      </c>
    </row>
    <row r="47" spans="1:15" x14ac:dyDescent="0.3">
      <c r="A47" t="s">
        <v>116</v>
      </c>
      <c r="B47" t="s">
        <v>117</v>
      </c>
      <c r="C47" t="str">
        <v>March</v>
      </c>
      <c r="D47" t="s">
        <v>22</v>
      </c>
      <c r="E47" t="s">
        <v>32</v>
      </c>
      <c r="H47" t="s">
        <v>33</v>
      </c>
      <c r="I47">
        <f t="shared" si="1"/>
        <v>43</v>
      </c>
      <c r="J47" t="str">
        <f t="shared" si="2"/>
        <v>Accessories</v>
      </c>
      <c r="K47">
        <v>10</v>
      </c>
      <c r="L47">
        <v>312</v>
      </c>
      <c r="M47">
        <v>3120</v>
      </c>
      <c r="N47" t="str">
        <v>High Sales</v>
      </c>
      <c r="O47" t="str">
        <f t="shared" si="3"/>
        <v>Top order</v>
      </c>
    </row>
    <row r="48" spans="1:15" x14ac:dyDescent="0.3">
      <c r="A48" t="s">
        <v>118</v>
      </c>
      <c r="B48" t="s">
        <v>119</v>
      </c>
      <c r="C48" t="str">
        <v>February</v>
      </c>
      <c r="D48" t="s">
        <v>36</v>
      </c>
      <c r="E48" t="s">
        <v>32</v>
      </c>
      <c r="H48" t="s">
        <v>18</v>
      </c>
      <c r="I48">
        <f t="shared" si="1"/>
        <v>55</v>
      </c>
      <c r="J48" t="str">
        <f t="shared" si="2"/>
        <v>Accessories</v>
      </c>
      <c r="K48">
        <v>10</v>
      </c>
      <c r="L48">
        <v>39</v>
      </c>
      <c r="M48">
        <v>390</v>
      </c>
      <c r="N48" t="str">
        <v>Low Sales</v>
      </c>
      <c r="O48" t="str">
        <f t="shared" si="3"/>
        <v>Normal</v>
      </c>
    </row>
    <row r="49" spans="1:15" x14ac:dyDescent="0.3">
      <c r="A49" t="s">
        <v>120</v>
      </c>
      <c r="B49" t="s">
        <v>121</v>
      </c>
      <c r="C49" t="str">
        <v>January</v>
      </c>
      <c r="D49" t="s">
        <v>22</v>
      </c>
      <c r="E49" t="s">
        <v>32</v>
      </c>
      <c r="H49" t="s">
        <v>13</v>
      </c>
      <c r="I49">
        <f t="shared" si="1"/>
        <v>56</v>
      </c>
      <c r="J49" t="str">
        <f t="shared" si="2"/>
        <v>Electronics</v>
      </c>
      <c r="K49">
        <v>1</v>
      </c>
      <c r="L49">
        <v>681</v>
      </c>
      <c r="M49">
        <v>681</v>
      </c>
      <c r="N49" t="str">
        <v>Low Sales</v>
      </c>
      <c r="O49" t="str">
        <f t="shared" si="3"/>
        <v>Normal</v>
      </c>
    </row>
    <row r="50" spans="1:15" x14ac:dyDescent="0.3">
      <c r="A50" t="s">
        <v>122</v>
      </c>
      <c r="B50" t="s">
        <v>123</v>
      </c>
      <c r="C50" t="str">
        <v>April</v>
      </c>
      <c r="D50" t="s">
        <v>27</v>
      </c>
      <c r="E50" t="s">
        <v>58</v>
      </c>
      <c r="H50" t="s">
        <v>24</v>
      </c>
      <c r="I50">
        <f t="shared" si="1"/>
        <v>61</v>
      </c>
      <c r="J50" t="str">
        <f t="shared" si="2"/>
        <v>Accessories</v>
      </c>
      <c r="K50">
        <v>4</v>
      </c>
      <c r="L50">
        <v>247</v>
      </c>
      <c r="M50">
        <v>988</v>
      </c>
      <c r="N50" t="str">
        <v>Low Sales</v>
      </c>
      <c r="O50" t="str">
        <f t="shared" si="3"/>
        <v>Normal</v>
      </c>
    </row>
    <row r="51" spans="1:15" x14ac:dyDescent="0.3">
      <c r="A51" t="s">
        <v>124</v>
      </c>
      <c r="B51" t="s">
        <v>125</v>
      </c>
      <c r="C51" t="str">
        <v>May</v>
      </c>
      <c r="D51" t="s">
        <v>36</v>
      </c>
      <c r="E51" t="s">
        <v>17</v>
      </c>
      <c r="H51" t="s">
        <v>74</v>
      </c>
      <c r="I51">
        <f t="shared" si="1"/>
        <v>39</v>
      </c>
      <c r="J51" t="str">
        <f t="shared" si="2"/>
        <v>Accessories</v>
      </c>
      <c r="K51">
        <v>10</v>
      </c>
      <c r="L51">
        <v>753</v>
      </c>
      <c r="M51">
        <v>7530</v>
      </c>
      <c r="N51" t="str">
        <v>High Sales</v>
      </c>
      <c r="O51" t="str">
        <f t="shared" si="3"/>
        <v>Top order</v>
      </c>
    </row>
    <row r="52" spans="1:15" x14ac:dyDescent="0.3">
      <c r="A52" t="s">
        <v>126</v>
      </c>
      <c r="B52" t="s">
        <v>127</v>
      </c>
      <c r="C52" t="str">
        <v>March</v>
      </c>
      <c r="D52" t="s">
        <v>22</v>
      </c>
      <c r="E52" t="s">
        <v>23</v>
      </c>
      <c r="H52" t="s">
        <v>18</v>
      </c>
      <c r="I52">
        <f t="shared" si="1"/>
        <v>55</v>
      </c>
      <c r="J52" t="str">
        <f t="shared" si="2"/>
        <v>Accessories</v>
      </c>
      <c r="K52">
        <v>1</v>
      </c>
      <c r="L52">
        <v>323</v>
      </c>
      <c r="M52">
        <v>323</v>
      </c>
      <c r="N52" t="str">
        <v>Low Sales</v>
      </c>
      <c r="O52" t="str">
        <f t="shared" si="3"/>
        <v>Normal</v>
      </c>
    </row>
    <row r="53" spans="1:15" x14ac:dyDescent="0.3">
      <c r="A53" t="s">
        <v>128</v>
      </c>
      <c r="B53" t="s">
        <v>129</v>
      </c>
      <c r="C53" t="str">
        <v>November</v>
      </c>
      <c r="D53" t="s">
        <v>27</v>
      </c>
      <c r="E53" t="s">
        <v>17</v>
      </c>
      <c r="H53" t="s">
        <v>39</v>
      </c>
      <c r="I53">
        <f t="shared" si="1"/>
        <v>46</v>
      </c>
      <c r="J53" t="str">
        <f t="shared" si="2"/>
        <v>Electronics</v>
      </c>
      <c r="K53">
        <v>9</v>
      </c>
      <c r="L53">
        <v>341</v>
      </c>
      <c r="M53">
        <v>3069</v>
      </c>
      <c r="N53" t="str">
        <v>High Sales</v>
      </c>
      <c r="O53" t="str">
        <f t="shared" si="3"/>
        <v>Top order</v>
      </c>
    </row>
    <row r="54" spans="1:15" x14ac:dyDescent="0.3">
      <c r="A54" t="s">
        <v>130</v>
      </c>
      <c r="B54" t="s">
        <v>131</v>
      </c>
      <c r="C54" t="str">
        <v>November</v>
      </c>
      <c r="D54" t="s">
        <v>22</v>
      </c>
      <c r="E54" t="s">
        <v>32</v>
      </c>
      <c r="H54" t="s">
        <v>39</v>
      </c>
      <c r="I54">
        <f t="shared" si="1"/>
        <v>46</v>
      </c>
      <c r="J54" t="str">
        <f t="shared" si="2"/>
        <v>Electronics</v>
      </c>
      <c r="K54">
        <v>8</v>
      </c>
      <c r="L54">
        <v>207</v>
      </c>
      <c r="M54">
        <v>1656</v>
      </c>
      <c r="N54" t="str">
        <v>Low Sales</v>
      </c>
      <c r="O54" t="str">
        <f t="shared" si="3"/>
        <v>Normal</v>
      </c>
    </row>
    <row r="55" spans="1:15" x14ac:dyDescent="0.3">
      <c r="A55" t="s">
        <v>132</v>
      </c>
      <c r="B55" t="s">
        <v>133</v>
      </c>
      <c r="C55" t="str">
        <v>September</v>
      </c>
      <c r="D55" t="s">
        <v>36</v>
      </c>
      <c r="E55" t="s">
        <v>23</v>
      </c>
      <c r="H55" t="s">
        <v>13</v>
      </c>
      <c r="I55">
        <f t="shared" si="1"/>
        <v>56</v>
      </c>
      <c r="J55" t="str">
        <f t="shared" si="2"/>
        <v>Electronics</v>
      </c>
      <c r="K55">
        <v>6</v>
      </c>
      <c r="L55">
        <v>162</v>
      </c>
      <c r="M55">
        <v>972</v>
      </c>
      <c r="N55" t="str">
        <v>Low Sales</v>
      </c>
      <c r="O55" t="str">
        <f t="shared" si="3"/>
        <v>Normal</v>
      </c>
    </row>
    <row r="56" spans="1:15" x14ac:dyDescent="0.3">
      <c r="A56" t="s">
        <v>134</v>
      </c>
      <c r="B56" t="s">
        <v>135</v>
      </c>
      <c r="C56" t="str">
        <v>May</v>
      </c>
      <c r="D56" t="s">
        <v>11</v>
      </c>
      <c r="E56" t="s">
        <v>17</v>
      </c>
      <c r="H56" t="s">
        <v>74</v>
      </c>
      <c r="I56">
        <f t="shared" si="1"/>
        <v>39</v>
      </c>
      <c r="J56" t="str">
        <f t="shared" si="2"/>
        <v>Accessories</v>
      </c>
      <c r="K56">
        <v>10</v>
      </c>
      <c r="L56">
        <v>214</v>
      </c>
      <c r="M56">
        <v>2140</v>
      </c>
      <c r="N56" t="str">
        <v>Low Sales</v>
      </c>
      <c r="O56" t="str">
        <f t="shared" si="3"/>
        <v>Normal</v>
      </c>
    </row>
    <row r="57" spans="1:15" x14ac:dyDescent="0.3">
      <c r="A57" t="s">
        <v>136</v>
      </c>
      <c r="B57" t="s">
        <v>137</v>
      </c>
      <c r="C57" t="str">
        <v>August</v>
      </c>
      <c r="D57" t="s">
        <v>11</v>
      </c>
      <c r="E57" t="s">
        <v>58</v>
      </c>
      <c r="H57" t="s">
        <v>39</v>
      </c>
      <c r="I57">
        <f t="shared" si="1"/>
        <v>46</v>
      </c>
      <c r="J57" t="str">
        <f t="shared" si="2"/>
        <v>Electronics</v>
      </c>
      <c r="K57">
        <v>10</v>
      </c>
      <c r="L57">
        <v>559</v>
      </c>
      <c r="M57">
        <v>5590</v>
      </c>
      <c r="N57" t="str">
        <v>High Sales</v>
      </c>
      <c r="O57" t="str">
        <f t="shared" si="3"/>
        <v>Top order</v>
      </c>
    </row>
    <row r="58" spans="1:15" x14ac:dyDescent="0.3">
      <c r="A58" t="s">
        <v>138</v>
      </c>
      <c r="B58" t="s">
        <v>139</v>
      </c>
      <c r="C58" t="str">
        <v>July</v>
      </c>
      <c r="D58" t="s">
        <v>27</v>
      </c>
      <c r="E58" t="s">
        <v>32</v>
      </c>
      <c r="H58" t="s">
        <v>18</v>
      </c>
      <c r="I58">
        <f t="shared" si="1"/>
        <v>55</v>
      </c>
      <c r="J58" t="str">
        <f t="shared" si="2"/>
        <v>Accessories</v>
      </c>
      <c r="K58">
        <v>1</v>
      </c>
      <c r="L58">
        <v>279</v>
      </c>
      <c r="M58">
        <v>279</v>
      </c>
      <c r="N58" t="str">
        <v>Low Sales</v>
      </c>
      <c r="O58" t="str">
        <f t="shared" si="3"/>
        <v>Normal</v>
      </c>
    </row>
    <row r="59" spans="1:15" x14ac:dyDescent="0.3">
      <c r="A59" t="s">
        <v>140</v>
      </c>
      <c r="B59" t="s">
        <v>141</v>
      </c>
      <c r="C59" t="str">
        <v>June</v>
      </c>
      <c r="D59" t="s">
        <v>36</v>
      </c>
      <c r="E59" t="s">
        <v>17</v>
      </c>
      <c r="H59" t="s">
        <v>39</v>
      </c>
      <c r="I59">
        <f t="shared" si="1"/>
        <v>46</v>
      </c>
      <c r="J59" t="str">
        <f t="shared" si="2"/>
        <v>Electronics</v>
      </c>
      <c r="K59">
        <v>7</v>
      </c>
      <c r="L59">
        <v>286</v>
      </c>
      <c r="M59">
        <v>2002</v>
      </c>
      <c r="N59" t="str">
        <v>Low Sales</v>
      </c>
      <c r="O59" t="str">
        <f t="shared" si="3"/>
        <v>Normal</v>
      </c>
    </row>
    <row r="60" spans="1:15" x14ac:dyDescent="0.3">
      <c r="A60" t="s">
        <v>142</v>
      </c>
      <c r="B60" t="s">
        <v>143</v>
      </c>
      <c r="C60" t="str">
        <v>February</v>
      </c>
      <c r="D60" t="s">
        <v>27</v>
      </c>
      <c r="E60" t="s">
        <v>58</v>
      </c>
      <c r="H60" t="s">
        <v>74</v>
      </c>
      <c r="I60">
        <f t="shared" si="1"/>
        <v>39</v>
      </c>
      <c r="J60" t="str">
        <f t="shared" si="2"/>
        <v>Accessories</v>
      </c>
      <c r="K60">
        <v>8</v>
      </c>
      <c r="L60">
        <v>402</v>
      </c>
      <c r="M60">
        <v>3216</v>
      </c>
      <c r="N60" t="str">
        <v>High Sales</v>
      </c>
      <c r="O60" t="str">
        <f t="shared" si="3"/>
        <v>Top order</v>
      </c>
    </row>
    <row r="61" spans="1:15" x14ac:dyDescent="0.3">
      <c r="A61" t="s">
        <v>144</v>
      </c>
      <c r="B61" t="s">
        <v>65</v>
      </c>
      <c r="C61" t="str">
        <v>March</v>
      </c>
      <c r="D61" t="s">
        <v>27</v>
      </c>
      <c r="E61" t="s">
        <v>58</v>
      </c>
      <c r="H61" t="s">
        <v>39</v>
      </c>
      <c r="I61">
        <f t="shared" si="1"/>
        <v>46</v>
      </c>
      <c r="J61" t="str">
        <f t="shared" si="2"/>
        <v>Electronics</v>
      </c>
      <c r="K61">
        <v>6</v>
      </c>
      <c r="L61">
        <v>107</v>
      </c>
      <c r="M61">
        <v>642</v>
      </c>
      <c r="N61" t="str">
        <v>Low Sales</v>
      </c>
      <c r="O61" t="str">
        <f t="shared" si="3"/>
        <v>Normal</v>
      </c>
    </row>
    <row r="62" spans="1:15" x14ac:dyDescent="0.3">
      <c r="A62" t="s">
        <v>145</v>
      </c>
      <c r="B62" t="s">
        <v>146</v>
      </c>
      <c r="C62" t="str">
        <v>September</v>
      </c>
      <c r="D62" t="s">
        <v>36</v>
      </c>
      <c r="E62" t="s">
        <v>17</v>
      </c>
      <c r="H62" t="s">
        <v>24</v>
      </c>
      <c r="I62">
        <f t="shared" si="1"/>
        <v>61</v>
      </c>
      <c r="J62" t="str">
        <f t="shared" si="2"/>
        <v>Accessories</v>
      </c>
      <c r="K62">
        <v>2</v>
      </c>
      <c r="L62">
        <v>789</v>
      </c>
      <c r="M62">
        <v>1578</v>
      </c>
      <c r="N62" t="str">
        <v>Low Sales</v>
      </c>
      <c r="O62" t="str">
        <f t="shared" si="3"/>
        <v>Normal</v>
      </c>
    </row>
    <row r="63" spans="1:15" x14ac:dyDescent="0.3">
      <c r="A63" t="s">
        <v>147</v>
      </c>
      <c r="B63" t="s">
        <v>148</v>
      </c>
      <c r="C63" t="str">
        <v>November</v>
      </c>
      <c r="D63" t="s">
        <v>36</v>
      </c>
      <c r="E63" t="s">
        <v>42</v>
      </c>
      <c r="H63" t="s">
        <v>13</v>
      </c>
      <c r="I63">
        <f t="shared" si="1"/>
        <v>56</v>
      </c>
      <c r="J63" t="str">
        <f t="shared" si="2"/>
        <v>Electronics</v>
      </c>
      <c r="K63">
        <v>7</v>
      </c>
      <c r="L63">
        <v>788</v>
      </c>
      <c r="M63">
        <v>5516</v>
      </c>
      <c r="N63" t="str">
        <v>High Sales</v>
      </c>
      <c r="O63" t="str">
        <f t="shared" si="3"/>
        <v>Top order</v>
      </c>
    </row>
    <row r="64" spans="1:15" x14ac:dyDescent="0.3">
      <c r="A64" t="s">
        <v>149</v>
      </c>
      <c r="B64" t="s">
        <v>150</v>
      </c>
      <c r="C64" t="str">
        <v>February</v>
      </c>
      <c r="D64" t="s">
        <v>45</v>
      </c>
      <c r="E64" t="s">
        <v>32</v>
      </c>
      <c r="H64" t="s">
        <v>33</v>
      </c>
      <c r="I64">
        <f t="shared" si="1"/>
        <v>43</v>
      </c>
      <c r="J64" t="str">
        <f t="shared" si="2"/>
        <v>Accessories</v>
      </c>
      <c r="K64">
        <v>5</v>
      </c>
      <c r="L64">
        <v>559</v>
      </c>
      <c r="M64">
        <v>2795</v>
      </c>
      <c r="N64" t="str">
        <v>Low Sales</v>
      </c>
      <c r="O64" t="str">
        <f t="shared" si="3"/>
        <v>Normal</v>
      </c>
    </row>
    <row r="65" spans="1:15" x14ac:dyDescent="0.3">
      <c r="A65" t="s">
        <v>151</v>
      </c>
      <c r="B65" t="s">
        <v>152</v>
      </c>
      <c r="C65" t="str">
        <v>September</v>
      </c>
      <c r="D65" t="s">
        <v>27</v>
      </c>
      <c r="E65" t="s">
        <v>32</v>
      </c>
      <c r="H65" t="s">
        <v>24</v>
      </c>
      <c r="I65">
        <f t="shared" si="1"/>
        <v>61</v>
      </c>
      <c r="J65" t="str">
        <f t="shared" si="2"/>
        <v>Accessories</v>
      </c>
      <c r="K65">
        <v>7</v>
      </c>
      <c r="L65">
        <v>60</v>
      </c>
      <c r="M65">
        <v>420</v>
      </c>
      <c r="N65" t="str">
        <v>Low Sales</v>
      </c>
      <c r="O65" t="str">
        <f t="shared" si="3"/>
        <v>Normal</v>
      </c>
    </row>
    <row r="66" spans="1:15" x14ac:dyDescent="0.3">
      <c r="A66" t="s">
        <v>153</v>
      </c>
      <c r="B66" t="s">
        <v>154</v>
      </c>
      <c r="C66" t="str">
        <v>November</v>
      </c>
      <c r="D66" t="s">
        <v>27</v>
      </c>
      <c r="E66" t="s">
        <v>17</v>
      </c>
      <c r="H66" t="s">
        <v>18</v>
      </c>
      <c r="I66">
        <f t="shared" si="1"/>
        <v>55</v>
      </c>
      <c r="J66" t="str">
        <f t="shared" si="2"/>
        <v>Accessories</v>
      </c>
      <c r="K66">
        <v>4</v>
      </c>
      <c r="L66">
        <v>505</v>
      </c>
      <c r="M66">
        <v>2020</v>
      </c>
      <c r="N66" t="str">
        <v>Low Sales</v>
      </c>
      <c r="O66" t="str">
        <f t="shared" si="3"/>
        <v>Normal</v>
      </c>
    </row>
    <row r="67" spans="1:15" x14ac:dyDescent="0.3">
      <c r="A67" t="s">
        <v>155</v>
      </c>
      <c r="B67" t="s">
        <v>156</v>
      </c>
      <c r="C67" t="str">
        <v>February</v>
      </c>
      <c r="D67" t="s">
        <v>22</v>
      </c>
      <c r="E67" t="s">
        <v>42</v>
      </c>
      <c r="H67" t="s">
        <v>18</v>
      </c>
      <c r="I67">
        <f t="shared" ref="I67:I130" si="4">COUNTIF($H$2:$H$301,H67)</f>
        <v>55</v>
      </c>
      <c r="J67" t="str">
        <f t="shared" ref="J67:J130" si="5">IF(OR(H67="Monitor",H67="Laptop"),"Electronics","Accessories")</f>
        <v>Accessories</v>
      </c>
      <c r="K67">
        <v>2</v>
      </c>
      <c r="L67">
        <v>250</v>
      </c>
      <c r="M67">
        <v>500</v>
      </c>
      <c r="N67" t="str">
        <v>Low Sales</v>
      </c>
      <c r="O67" t="str">
        <f t="shared" ref="O67:O130" si="6">IF(AND(M67&gt;3000,K67&gt;5),"Top order","Normal")</f>
        <v>Normal</v>
      </c>
    </row>
    <row r="68" spans="1:15" x14ac:dyDescent="0.3">
      <c r="A68" t="s">
        <v>157</v>
      </c>
      <c r="B68" t="s">
        <v>158</v>
      </c>
      <c r="C68" t="str">
        <v>January</v>
      </c>
      <c r="D68" t="s">
        <v>36</v>
      </c>
      <c r="E68" t="s">
        <v>32</v>
      </c>
      <c r="H68" t="s">
        <v>18</v>
      </c>
      <c r="I68">
        <f t="shared" si="4"/>
        <v>55</v>
      </c>
      <c r="J68" t="str">
        <f t="shared" si="5"/>
        <v>Accessories</v>
      </c>
      <c r="K68">
        <v>6</v>
      </c>
      <c r="L68">
        <v>708</v>
      </c>
      <c r="M68">
        <v>4248</v>
      </c>
      <c r="N68" t="str">
        <v>High Sales</v>
      </c>
      <c r="O68" t="str">
        <f t="shared" si="6"/>
        <v>Top order</v>
      </c>
    </row>
    <row r="69" spans="1:15" x14ac:dyDescent="0.3">
      <c r="A69" t="s">
        <v>159</v>
      </c>
      <c r="B69" t="s">
        <v>160</v>
      </c>
      <c r="C69" t="str">
        <v>May</v>
      </c>
      <c r="D69" t="s">
        <v>22</v>
      </c>
      <c r="E69" t="s">
        <v>17</v>
      </c>
      <c r="H69" t="s">
        <v>39</v>
      </c>
      <c r="I69">
        <f t="shared" si="4"/>
        <v>46</v>
      </c>
      <c r="J69" t="str">
        <f t="shared" si="5"/>
        <v>Electronics</v>
      </c>
      <c r="K69">
        <v>10</v>
      </c>
      <c r="L69">
        <v>339</v>
      </c>
      <c r="M69">
        <v>3390</v>
      </c>
      <c r="N69" t="str">
        <v>High Sales</v>
      </c>
      <c r="O69" t="str">
        <f t="shared" si="6"/>
        <v>Top order</v>
      </c>
    </row>
    <row r="70" spans="1:15" x14ac:dyDescent="0.3">
      <c r="A70" t="s">
        <v>161</v>
      </c>
      <c r="B70" t="s">
        <v>162</v>
      </c>
      <c r="C70" t="str">
        <v>July</v>
      </c>
      <c r="D70" t="s">
        <v>45</v>
      </c>
      <c r="E70" t="s">
        <v>32</v>
      </c>
      <c r="H70" t="s">
        <v>18</v>
      </c>
      <c r="I70">
        <f t="shared" si="4"/>
        <v>55</v>
      </c>
      <c r="J70" t="str">
        <f t="shared" si="5"/>
        <v>Accessories</v>
      </c>
      <c r="K70">
        <v>8</v>
      </c>
      <c r="L70">
        <v>93</v>
      </c>
      <c r="M70">
        <v>744</v>
      </c>
      <c r="N70" t="str">
        <v>Low Sales</v>
      </c>
      <c r="O70" t="str">
        <f t="shared" si="6"/>
        <v>Normal</v>
      </c>
    </row>
    <row r="71" spans="1:15" x14ac:dyDescent="0.3">
      <c r="A71" t="s">
        <v>163</v>
      </c>
      <c r="B71" t="s">
        <v>164</v>
      </c>
      <c r="C71" t="str">
        <v>May</v>
      </c>
      <c r="D71" t="s">
        <v>22</v>
      </c>
      <c r="E71" t="s">
        <v>32</v>
      </c>
      <c r="H71" t="s">
        <v>18</v>
      </c>
      <c r="I71">
        <f t="shared" si="4"/>
        <v>55</v>
      </c>
      <c r="J71" t="str">
        <f t="shared" si="5"/>
        <v>Accessories</v>
      </c>
      <c r="K71">
        <v>4</v>
      </c>
      <c r="L71">
        <v>259</v>
      </c>
      <c r="M71">
        <v>1036</v>
      </c>
      <c r="N71" t="str">
        <v>Low Sales</v>
      </c>
      <c r="O71" t="str">
        <f t="shared" si="6"/>
        <v>Normal</v>
      </c>
    </row>
    <row r="72" spans="1:15" x14ac:dyDescent="0.3">
      <c r="A72" t="s">
        <v>165</v>
      </c>
      <c r="B72" t="s">
        <v>166</v>
      </c>
      <c r="C72" t="str">
        <v>July</v>
      </c>
      <c r="D72" t="s">
        <v>27</v>
      </c>
      <c r="E72" t="s">
        <v>58</v>
      </c>
      <c r="H72" t="s">
        <v>74</v>
      </c>
      <c r="I72">
        <f t="shared" si="4"/>
        <v>39</v>
      </c>
      <c r="J72" t="str">
        <f t="shared" si="5"/>
        <v>Accessories</v>
      </c>
      <c r="K72">
        <v>7</v>
      </c>
      <c r="L72">
        <v>636</v>
      </c>
      <c r="M72">
        <v>4452</v>
      </c>
      <c r="N72" t="str">
        <v>High Sales</v>
      </c>
      <c r="O72" t="str">
        <f t="shared" si="6"/>
        <v>Top order</v>
      </c>
    </row>
    <row r="73" spans="1:15" x14ac:dyDescent="0.3">
      <c r="A73" t="s">
        <v>167</v>
      </c>
      <c r="B73" t="s">
        <v>168</v>
      </c>
      <c r="C73" t="str">
        <v>November</v>
      </c>
      <c r="D73" t="s">
        <v>45</v>
      </c>
      <c r="E73" t="s">
        <v>23</v>
      </c>
      <c r="H73" t="s">
        <v>33</v>
      </c>
      <c r="I73">
        <f t="shared" si="4"/>
        <v>43</v>
      </c>
      <c r="J73" t="str">
        <f t="shared" si="5"/>
        <v>Accessories</v>
      </c>
      <c r="K73">
        <v>8</v>
      </c>
      <c r="L73">
        <v>700</v>
      </c>
      <c r="M73">
        <v>5600</v>
      </c>
      <c r="N73" t="str">
        <v>High Sales</v>
      </c>
      <c r="O73" t="str">
        <f t="shared" si="6"/>
        <v>Top order</v>
      </c>
    </row>
    <row r="74" spans="1:15" x14ac:dyDescent="0.3">
      <c r="A74" t="s">
        <v>169</v>
      </c>
      <c r="B74" t="s">
        <v>170</v>
      </c>
      <c r="C74" t="str">
        <v>March</v>
      </c>
      <c r="D74" t="s">
        <v>45</v>
      </c>
      <c r="E74" t="s">
        <v>42</v>
      </c>
      <c r="H74" t="s">
        <v>24</v>
      </c>
      <c r="I74">
        <f t="shared" si="4"/>
        <v>61</v>
      </c>
      <c r="J74" t="str">
        <f t="shared" si="5"/>
        <v>Accessories</v>
      </c>
      <c r="K74">
        <v>4</v>
      </c>
      <c r="L74">
        <v>603</v>
      </c>
      <c r="M74">
        <v>2412</v>
      </c>
      <c r="N74" t="str">
        <v>Low Sales</v>
      </c>
      <c r="O74" t="str">
        <f t="shared" si="6"/>
        <v>Normal</v>
      </c>
    </row>
    <row r="75" spans="1:15" x14ac:dyDescent="0.3">
      <c r="A75" t="s">
        <v>171</v>
      </c>
      <c r="B75" t="s">
        <v>119</v>
      </c>
      <c r="C75" t="str">
        <v>February</v>
      </c>
      <c r="D75" t="s">
        <v>27</v>
      </c>
      <c r="E75" t="s">
        <v>17</v>
      </c>
      <c r="H75" t="s">
        <v>74</v>
      </c>
      <c r="I75">
        <f t="shared" si="4"/>
        <v>39</v>
      </c>
      <c r="J75" t="str">
        <f t="shared" si="5"/>
        <v>Accessories</v>
      </c>
      <c r="K75">
        <v>1</v>
      </c>
      <c r="L75">
        <v>453</v>
      </c>
      <c r="M75">
        <v>453</v>
      </c>
      <c r="N75" t="str">
        <v>Low Sales</v>
      </c>
      <c r="O75" t="str">
        <f t="shared" si="6"/>
        <v>Normal</v>
      </c>
    </row>
    <row r="76" spans="1:15" x14ac:dyDescent="0.3">
      <c r="A76" t="s">
        <v>172</v>
      </c>
      <c r="B76" t="s">
        <v>173</v>
      </c>
      <c r="C76" t="str">
        <v>May</v>
      </c>
      <c r="D76" t="s">
        <v>11</v>
      </c>
      <c r="E76" t="s">
        <v>23</v>
      </c>
      <c r="H76" t="s">
        <v>18</v>
      </c>
      <c r="I76">
        <f t="shared" si="4"/>
        <v>55</v>
      </c>
      <c r="J76" t="str">
        <f t="shared" si="5"/>
        <v>Accessories</v>
      </c>
      <c r="K76">
        <v>1</v>
      </c>
      <c r="L76">
        <v>86</v>
      </c>
      <c r="M76">
        <v>86</v>
      </c>
      <c r="N76" t="str">
        <v>Low Sales</v>
      </c>
      <c r="O76" t="str">
        <f t="shared" si="6"/>
        <v>Normal</v>
      </c>
    </row>
    <row r="77" spans="1:15" x14ac:dyDescent="0.3">
      <c r="A77" t="s">
        <v>174</v>
      </c>
      <c r="B77" t="s">
        <v>175</v>
      </c>
      <c r="C77" t="str">
        <v>November</v>
      </c>
      <c r="D77" t="s">
        <v>27</v>
      </c>
      <c r="E77" t="s">
        <v>32</v>
      </c>
      <c r="H77" t="s">
        <v>13</v>
      </c>
      <c r="I77">
        <f t="shared" si="4"/>
        <v>56</v>
      </c>
      <c r="J77" t="str">
        <f t="shared" si="5"/>
        <v>Electronics</v>
      </c>
      <c r="K77">
        <v>3</v>
      </c>
      <c r="L77">
        <v>615</v>
      </c>
      <c r="M77">
        <v>1845</v>
      </c>
      <c r="N77" t="str">
        <v>Low Sales</v>
      </c>
      <c r="O77" t="str">
        <f t="shared" si="6"/>
        <v>Normal</v>
      </c>
    </row>
    <row r="78" spans="1:15" x14ac:dyDescent="0.3">
      <c r="A78" t="s">
        <v>176</v>
      </c>
      <c r="B78" t="s">
        <v>177</v>
      </c>
      <c r="C78" t="str">
        <v>November</v>
      </c>
      <c r="D78" t="s">
        <v>27</v>
      </c>
      <c r="E78" t="s">
        <v>12</v>
      </c>
      <c r="H78" t="s">
        <v>24</v>
      </c>
      <c r="I78">
        <f t="shared" si="4"/>
        <v>61</v>
      </c>
      <c r="J78" t="str">
        <f t="shared" si="5"/>
        <v>Accessories</v>
      </c>
      <c r="K78">
        <v>3</v>
      </c>
      <c r="L78">
        <v>752</v>
      </c>
      <c r="M78">
        <v>2256</v>
      </c>
      <c r="N78" t="str">
        <v>Low Sales</v>
      </c>
      <c r="O78" t="str">
        <f t="shared" si="6"/>
        <v>Normal</v>
      </c>
    </row>
    <row r="79" spans="1:15" x14ac:dyDescent="0.3">
      <c r="A79" t="s">
        <v>178</v>
      </c>
      <c r="B79" t="s">
        <v>179</v>
      </c>
      <c r="C79" t="str">
        <v>February</v>
      </c>
      <c r="D79" t="s">
        <v>11</v>
      </c>
      <c r="E79" t="s">
        <v>23</v>
      </c>
      <c r="H79" t="s">
        <v>39</v>
      </c>
      <c r="I79">
        <f t="shared" si="4"/>
        <v>46</v>
      </c>
      <c r="J79" t="str">
        <f t="shared" si="5"/>
        <v>Electronics</v>
      </c>
      <c r="K79">
        <v>1</v>
      </c>
      <c r="L79">
        <v>357</v>
      </c>
      <c r="M79">
        <v>357</v>
      </c>
      <c r="N79" t="str">
        <v>Low Sales</v>
      </c>
      <c r="O79" t="str">
        <f t="shared" si="6"/>
        <v>Normal</v>
      </c>
    </row>
    <row r="80" spans="1:15" x14ac:dyDescent="0.3">
      <c r="A80" t="s">
        <v>180</v>
      </c>
      <c r="B80" t="s">
        <v>181</v>
      </c>
      <c r="C80" t="str">
        <v>October</v>
      </c>
      <c r="D80" t="s">
        <v>45</v>
      </c>
      <c r="E80" t="s">
        <v>58</v>
      </c>
      <c r="H80" t="s">
        <v>74</v>
      </c>
      <c r="I80">
        <f t="shared" si="4"/>
        <v>39</v>
      </c>
      <c r="J80" t="str">
        <f t="shared" si="5"/>
        <v>Accessories</v>
      </c>
      <c r="K80">
        <v>10</v>
      </c>
      <c r="L80">
        <v>646</v>
      </c>
      <c r="M80">
        <v>6460</v>
      </c>
      <c r="N80" t="str">
        <v>High Sales</v>
      </c>
      <c r="O80" t="str">
        <f t="shared" si="6"/>
        <v>Top order</v>
      </c>
    </row>
    <row r="81" spans="1:15" x14ac:dyDescent="0.3">
      <c r="A81" t="s">
        <v>182</v>
      </c>
      <c r="B81" t="s">
        <v>69</v>
      </c>
      <c r="C81" t="str">
        <v>September</v>
      </c>
      <c r="D81" t="s">
        <v>22</v>
      </c>
      <c r="E81" t="s">
        <v>32</v>
      </c>
      <c r="H81" t="s">
        <v>33</v>
      </c>
      <c r="I81">
        <f t="shared" si="4"/>
        <v>43</v>
      </c>
      <c r="J81" t="str">
        <f t="shared" si="5"/>
        <v>Accessories</v>
      </c>
      <c r="K81">
        <v>1</v>
      </c>
      <c r="L81">
        <v>386</v>
      </c>
      <c r="M81">
        <v>386</v>
      </c>
      <c r="N81" t="str">
        <v>Low Sales</v>
      </c>
      <c r="O81" t="str">
        <f t="shared" si="6"/>
        <v>Normal</v>
      </c>
    </row>
    <row r="82" spans="1:15" x14ac:dyDescent="0.3">
      <c r="A82" t="s">
        <v>183</v>
      </c>
      <c r="B82" t="s">
        <v>184</v>
      </c>
      <c r="C82" t="str">
        <v>August</v>
      </c>
      <c r="D82" t="s">
        <v>22</v>
      </c>
      <c r="E82" t="s">
        <v>32</v>
      </c>
      <c r="H82" t="s">
        <v>13</v>
      </c>
      <c r="I82">
        <f t="shared" si="4"/>
        <v>56</v>
      </c>
      <c r="J82" t="str">
        <f t="shared" si="5"/>
        <v>Electronics</v>
      </c>
      <c r="K82">
        <v>4</v>
      </c>
      <c r="L82">
        <v>539</v>
      </c>
      <c r="M82">
        <v>2156</v>
      </c>
      <c r="N82" t="str">
        <v>Low Sales</v>
      </c>
      <c r="O82" t="str">
        <f t="shared" si="6"/>
        <v>Normal</v>
      </c>
    </row>
    <row r="83" spans="1:15" x14ac:dyDescent="0.3">
      <c r="A83" t="s">
        <v>185</v>
      </c>
      <c r="B83" t="s">
        <v>65</v>
      </c>
      <c r="C83" t="str">
        <v>March</v>
      </c>
      <c r="D83" t="s">
        <v>45</v>
      </c>
      <c r="E83" t="s">
        <v>42</v>
      </c>
      <c r="H83" t="s">
        <v>24</v>
      </c>
      <c r="I83">
        <f t="shared" si="4"/>
        <v>61</v>
      </c>
      <c r="J83" t="str">
        <f t="shared" si="5"/>
        <v>Accessories</v>
      </c>
      <c r="K83">
        <v>6</v>
      </c>
      <c r="L83">
        <v>680</v>
      </c>
      <c r="M83">
        <v>4080</v>
      </c>
      <c r="N83" t="str">
        <v>High Sales</v>
      </c>
      <c r="O83" t="str">
        <f t="shared" si="6"/>
        <v>Top order</v>
      </c>
    </row>
    <row r="84" spans="1:15" x14ac:dyDescent="0.3">
      <c r="A84" t="s">
        <v>186</v>
      </c>
      <c r="B84" t="s">
        <v>187</v>
      </c>
      <c r="C84" t="str">
        <v>November</v>
      </c>
      <c r="D84" t="s">
        <v>22</v>
      </c>
      <c r="E84" t="s">
        <v>17</v>
      </c>
      <c r="H84" t="s">
        <v>13</v>
      </c>
      <c r="I84">
        <f t="shared" si="4"/>
        <v>56</v>
      </c>
      <c r="J84" t="str">
        <f t="shared" si="5"/>
        <v>Electronics</v>
      </c>
      <c r="K84">
        <v>5</v>
      </c>
      <c r="L84">
        <v>62</v>
      </c>
      <c r="M84">
        <v>310</v>
      </c>
      <c r="N84" t="str">
        <v>Low Sales</v>
      </c>
      <c r="O84" t="str">
        <f t="shared" si="6"/>
        <v>Normal</v>
      </c>
    </row>
    <row r="85" spans="1:15" x14ac:dyDescent="0.3">
      <c r="A85" t="s">
        <v>188</v>
      </c>
      <c r="B85" t="s">
        <v>189</v>
      </c>
      <c r="C85" t="str">
        <v>August</v>
      </c>
      <c r="D85" t="s">
        <v>22</v>
      </c>
      <c r="E85" t="s">
        <v>42</v>
      </c>
      <c r="H85" t="s">
        <v>24</v>
      </c>
      <c r="I85">
        <f t="shared" si="4"/>
        <v>61</v>
      </c>
      <c r="J85" t="str">
        <f t="shared" si="5"/>
        <v>Accessories</v>
      </c>
      <c r="K85">
        <v>10</v>
      </c>
      <c r="L85">
        <v>312</v>
      </c>
      <c r="M85">
        <v>3120</v>
      </c>
      <c r="N85" t="str">
        <v>High Sales</v>
      </c>
      <c r="O85" t="str">
        <f t="shared" si="6"/>
        <v>Top order</v>
      </c>
    </row>
    <row r="86" spans="1:15" x14ac:dyDescent="0.3">
      <c r="A86" t="s">
        <v>190</v>
      </c>
      <c r="B86" t="s">
        <v>191</v>
      </c>
      <c r="C86" t="str">
        <v>May</v>
      </c>
      <c r="D86" t="s">
        <v>36</v>
      </c>
      <c r="E86" t="s">
        <v>32</v>
      </c>
      <c r="H86" t="s">
        <v>13</v>
      </c>
      <c r="I86">
        <f t="shared" si="4"/>
        <v>56</v>
      </c>
      <c r="J86" t="str">
        <f t="shared" si="5"/>
        <v>Electronics</v>
      </c>
      <c r="K86">
        <v>6</v>
      </c>
      <c r="L86">
        <v>276</v>
      </c>
      <c r="M86">
        <v>1656</v>
      </c>
      <c r="N86" t="str">
        <v>Low Sales</v>
      </c>
      <c r="O86" t="str">
        <f t="shared" si="6"/>
        <v>Normal</v>
      </c>
    </row>
    <row r="87" spans="1:15" x14ac:dyDescent="0.3">
      <c r="A87" t="s">
        <v>192</v>
      </c>
      <c r="B87" t="s">
        <v>193</v>
      </c>
      <c r="C87" t="str">
        <v>March</v>
      </c>
      <c r="D87" t="s">
        <v>11</v>
      </c>
      <c r="E87" t="s">
        <v>17</v>
      </c>
      <c r="H87" t="s">
        <v>24</v>
      </c>
      <c r="I87">
        <f t="shared" si="4"/>
        <v>61</v>
      </c>
      <c r="J87" t="str">
        <f t="shared" si="5"/>
        <v>Accessories</v>
      </c>
      <c r="K87">
        <v>5</v>
      </c>
      <c r="L87">
        <v>99</v>
      </c>
      <c r="M87">
        <v>495</v>
      </c>
      <c r="N87" t="str">
        <v>Low Sales</v>
      </c>
      <c r="O87" t="str">
        <f t="shared" si="6"/>
        <v>Normal</v>
      </c>
    </row>
    <row r="88" spans="1:15" x14ac:dyDescent="0.3">
      <c r="A88" t="s">
        <v>194</v>
      </c>
      <c r="B88" t="s">
        <v>195</v>
      </c>
      <c r="C88" t="str">
        <v>May</v>
      </c>
      <c r="D88" t="s">
        <v>27</v>
      </c>
      <c r="E88" t="s">
        <v>32</v>
      </c>
      <c r="H88" t="s">
        <v>13</v>
      </c>
      <c r="I88">
        <f t="shared" si="4"/>
        <v>56</v>
      </c>
      <c r="J88" t="str">
        <f t="shared" si="5"/>
        <v>Electronics</v>
      </c>
      <c r="K88">
        <v>2</v>
      </c>
      <c r="L88">
        <v>618</v>
      </c>
      <c r="M88">
        <v>1236</v>
      </c>
      <c r="N88" t="str">
        <v>Low Sales</v>
      </c>
      <c r="O88" t="str">
        <f t="shared" si="6"/>
        <v>Normal</v>
      </c>
    </row>
    <row r="89" spans="1:15" x14ac:dyDescent="0.3">
      <c r="A89" t="s">
        <v>196</v>
      </c>
      <c r="B89" t="s">
        <v>197</v>
      </c>
      <c r="C89" t="str">
        <v>December</v>
      </c>
      <c r="D89" t="s">
        <v>36</v>
      </c>
      <c r="E89" t="s">
        <v>32</v>
      </c>
      <c r="H89" t="s">
        <v>33</v>
      </c>
      <c r="I89">
        <f t="shared" si="4"/>
        <v>43</v>
      </c>
      <c r="J89" t="str">
        <f t="shared" si="5"/>
        <v>Accessories</v>
      </c>
      <c r="K89">
        <v>2</v>
      </c>
      <c r="L89">
        <v>526</v>
      </c>
      <c r="M89">
        <v>1052</v>
      </c>
      <c r="N89" t="str">
        <v>Low Sales</v>
      </c>
      <c r="O89" t="str">
        <f t="shared" si="6"/>
        <v>Normal</v>
      </c>
    </row>
    <row r="90" spans="1:15" x14ac:dyDescent="0.3">
      <c r="A90" t="s">
        <v>198</v>
      </c>
      <c r="B90" t="s">
        <v>127</v>
      </c>
      <c r="C90" t="str">
        <v>March</v>
      </c>
      <c r="D90" t="s">
        <v>36</v>
      </c>
      <c r="E90" t="s">
        <v>42</v>
      </c>
      <c r="H90" t="s">
        <v>13</v>
      </c>
      <c r="I90">
        <f t="shared" si="4"/>
        <v>56</v>
      </c>
      <c r="J90" t="str">
        <f t="shared" si="5"/>
        <v>Electronics</v>
      </c>
      <c r="K90">
        <v>3</v>
      </c>
      <c r="L90">
        <v>180</v>
      </c>
      <c r="M90">
        <v>540</v>
      </c>
      <c r="N90" t="str">
        <v>Low Sales</v>
      </c>
      <c r="O90" t="str">
        <f t="shared" si="6"/>
        <v>Normal</v>
      </c>
    </row>
    <row r="91" spans="1:15" x14ac:dyDescent="0.3">
      <c r="A91" t="s">
        <v>199</v>
      </c>
      <c r="B91" t="s">
        <v>200</v>
      </c>
      <c r="C91" t="str">
        <v>October</v>
      </c>
      <c r="D91" t="s">
        <v>11</v>
      </c>
      <c r="E91" t="s">
        <v>58</v>
      </c>
      <c r="H91" t="s">
        <v>39</v>
      </c>
      <c r="I91">
        <f t="shared" si="4"/>
        <v>46</v>
      </c>
      <c r="J91" t="str">
        <f t="shared" si="5"/>
        <v>Electronics</v>
      </c>
      <c r="K91">
        <v>2</v>
      </c>
      <c r="L91">
        <v>692</v>
      </c>
      <c r="M91">
        <v>1384</v>
      </c>
      <c r="N91" t="str">
        <v>Low Sales</v>
      </c>
      <c r="O91" t="str">
        <f t="shared" si="6"/>
        <v>Normal</v>
      </c>
    </row>
    <row r="92" spans="1:15" x14ac:dyDescent="0.3">
      <c r="A92" t="s">
        <v>201</v>
      </c>
      <c r="B92" t="s">
        <v>202</v>
      </c>
      <c r="C92" t="str">
        <v>January</v>
      </c>
      <c r="D92" t="s">
        <v>27</v>
      </c>
      <c r="E92" t="s">
        <v>17</v>
      </c>
      <c r="H92" t="s">
        <v>33</v>
      </c>
      <c r="I92">
        <f t="shared" si="4"/>
        <v>43</v>
      </c>
      <c r="J92" t="str">
        <f t="shared" si="5"/>
        <v>Accessories</v>
      </c>
      <c r="K92">
        <v>1</v>
      </c>
      <c r="L92">
        <v>586</v>
      </c>
      <c r="M92">
        <v>586</v>
      </c>
      <c r="N92" t="str">
        <v>Low Sales</v>
      </c>
      <c r="O92" t="str">
        <f t="shared" si="6"/>
        <v>Normal</v>
      </c>
    </row>
    <row r="93" spans="1:15" x14ac:dyDescent="0.3">
      <c r="A93" t="s">
        <v>203</v>
      </c>
      <c r="B93" t="s">
        <v>204</v>
      </c>
      <c r="C93" t="str">
        <v>February</v>
      </c>
      <c r="D93" t="s">
        <v>45</v>
      </c>
      <c r="E93" t="s">
        <v>17</v>
      </c>
      <c r="H93" t="s">
        <v>24</v>
      </c>
      <c r="I93">
        <f t="shared" si="4"/>
        <v>61</v>
      </c>
      <c r="J93" t="str">
        <f t="shared" si="5"/>
        <v>Accessories</v>
      </c>
      <c r="K93">
        <v>7</v>
      </c>
      <c r="L93">
        <v>635</v>
      </c>
      <c r="M93">
        <v>4445</v>
      </c>
      <c r="N93" t="str">
        <v>High Sales</v>
      </c>
      <c r="O93" t="str">
        <f t="shared" si="6"/>
        <v>Top order</v>
      </c>
    </row>
    <row r="94" spans="1:15" x14ac:dyDescent="0.3">
      <c r="A94" t="s">
        <v>205</v>
      </c>
      <c r="B94" t="s">
        <v>206</v>
      </c>
      <c r="C94" t="str">
        <v>July</v>
      </c>
      <c r="D94" t="s">
        <v>11</v>
      </c>
      <c r="E94" t="s">
        <v>42</v>
      </c>
      <c r="H94" t="s">
        <v>18</v>
      </c>
      <c r="I94">
        <f t="shared" si="4"/>
        <v>55</v>
      </c>
      <c r="J94" t="str">
        <f t="shared" si="5"/>
        <v>Accessories</v>
      </c>
      <c r="K94">
        <v>7</v>
      </c>
      <c r="L94">
        <v>368</v>
      </c>
      <c r="M94">
        <v>2576</v>
      </c>
      <c r="N94" t="str">
        <v>Low Sales</v>
      </c>
      <c r="O94" t="str">
        <f t="shared" si="6"/>
        <v>Normal</v>
      </c>
    </row>
    <row r="95" spans="1:15" x14ac:dyDescent="0.3">
      <c r="A95" t="s">
        <v>207</v>
      </c>
      <c r="B95" t="s">
        <v>208</v>
      </c>
      <c r="C95" t="str">
        <v>October</v>
      </c>
      <c r="D95" t="s">
        <v>27</v>
      </c>
      <c r="E95" t="s">
        <v>42</v>
      </c>
      <c r="H95" t="s">
        <v>13</v>
      </c>
      <c r="I95">
        <f t="shared" si="4"/>
        <v>56</v>
      </c>
      <c r="J95" t="str">
        <f t="shared" si="5"/>
        <v>Electronics</v>
      </c>
      <c r="K95">
        <v>8</v>
      </c>
      <c r="L95">
        <v>322</v>
      </c>
      <c r="M95">
        <v>2576</v>
      </c>
      <c r="N95" t="str">
        <v>Low Sales</v>
      </c>
      <c r="O95" t="str">
        <f t="shared" si="6"/>
        <v>Normal</v>
      </c>
    </row>
    <row r="96" spans="1:15" x14ac:dyDescent="0.3">
      <c r="A96" t="s">
        <v>209</v>
      </c>
      <c r="B96" t="s">
        <v>210</v>
      </c>
      <c r="C96" t="str">
        <v>November</v>
      </c>
      <c r="D96" t="s">
        <v>45</v>
      </c>
      <c r="E96" t="s">
        <v>23</v>
      </c>
      <c r="H96" t="s">
        <v>18</v>
      </c>
      <c r="I96">
        <f t="shared" si="4"/>
        <v>55</v>
      </c>
      <c r="J96" t="str">
        <f t="shared" si="5"/>
        <v>Accessories</v>
      </c>
      <c r="K96">
        <v>8</v>
      </c>
      <c r="L96">
        <v>728</v>
      </c>
      <c r="M96">
        <v>5824</v>
      </c>
      <c r="N96" t="str">
        <v>High Sales</v>
      </c>
      <c r="O96" t="str">
        <f t="shared" si="6"/>
        <v>Top order</v>
      </c>
    </row>
    <row r="97" spans="1:15" x14ac:dyDescent="0.3">
      <c r="A97" t="s">
        <v>211</v>
      </c>
      <c r="B97" t="s">
        <v>212</v>
      </c>
      <c r="C97" t="str">
        <v>October</v>
      </c>
      <c r="D97" t="s">
        <v>22</v>
      </c>
      <c r="E97" t="s">
        <v>58</v>
      </c>
      <c r="H97" t="s">
        <v>39</v>
      </c>
      <c r="I97">
        <f t="shared" si="4"/>
        <v>46</v>
      </c>
      <c r="J97" t="str">
        <f t="shared" si="5"/>
        <v>Electronics</v>
      </c>
      <c r="K97">
        <v>10</v>
      </c>
      <c r="L97">
        <v>703</v>
      </c>
      <c r="M97">
        <v>7030</v>
      </c>
      <c r="N97" t="str">
        <v>High Sales</v>
      </c>
      <c r="O97" t="str">
        <f t="shared" si="6"/>
        <v>Top order</v>
      </c>
    </row>
    <row r="98" spans="1:15" x14ac:dyDescent="0.3">
      <c r="A98" t="s">
        <v>213</v>
      </c>
      <c r="B98" t="s">
        <v>214</v>
      </c>
      <c r="C98" t="str">
        <v>July</v>
      </c>
      <c r="D98" t="s">
        <v>45</v>
      </c>
      <c r="E98" t="s">
        <v>23</v>
      </c>
      <c r="H98" t="s">
        <v>24</v>
      </c>
      <c r="I98">
        <f t="shared" si="4"/>
        <v>61</v>
      </c>
      <c r="J98" t="str">
        <f t="shared" si="5"/>
        <v>Accessories</v>
      </c>
      <c r="K98">
        <v>6</v>
      </c>
      <c r="L98">
        <v>236</v>
      </c>
      <c r="M98">
        <v>1416</v>
      </c>
      <c r="N98" t="str">
        <v>Low Sales</v>
      </c>
      <c r="O98" t="str">
        <f t="shared" si="6"/>
        <v>Normal</v>
      </c>
    </row>
    <row r="99" spans="1:15" x14ac:dyDescent="0.3">
      <c r="A99" t="s">
        <v>215</v>
      </c>
      <c r="B99" t="s">
        <v>216</v>
      </c>
      <c r="C99" t="str">
        <v>August</v>
      </c>
      <c r="D99" t="s">
        <v>45</v>
      </c>
      <c r="E99" t="s">
        <v>32</v>
      </c>
      <c r="H99" t="s">
        <v>33</v>
      </c>
      <c r="I99">
        <f t="shared" si="4"/>
        <v>43</v>
      </c>
      <c r="J99" t="str">
        <f t="shared" si="5"/>
        <v>Accessories</v>
      </c>
      <c r="K99">
        <v>5</v>
      </c>
      <c r="L99">
        <v>482</v>
      </c>
      <c r="M99">
        <v>2410</v>
      </c>
      <c r="N99" t="str">
        <v>Low Sales</v>
      </c>
      <c r="O99" t="str">
        <f t="shared" si="6"/>
        <v>Normal</v>
      </c>
    </row>
    <row r="100" spans="1:15" x14ac:dyDescent="0.3">
      <c r="A100" t="s">
        <v>217</v>
      </c>
      <c r="B100" t="s">
        <v>218</v>
      </c>
      <c r="C100" t="str">
        <v>April</v>
      </c>
      <c r="D100" t="s">
        <v>11</v>
      </c>
      <c r="E100" t="s">
        <v>42</v>
      </c>
      <c r="H100" t="s">
        <v>74</v>
      </c>
      <c r="I100">
        <f t="shared" si="4"/>
        <v>39</v>
      </c>
      <c r="J100" t="str">
        <f t="shared" si="5"/>
        <v>Accessories</v>
      </c>
      <c r="K100">
        <v>2</v>
      </c>
      <c r="L100">
        <v>709</v>
      </c>
      <c r="M100">
        <v>1418</v>
      </c>
      <c r="N100" t="str">
        <v>Low Sales</v>
      </c>
      <c r="O100" t="str">
        <f t="shared" si="6"/>
        <v>Normal</v>
      </c>
    </row>
    <row r="101" spans="1:15" x14ac:dyDescent="0.3">
      <c r="A101" t="s">
        <v>219</v>
      </c>
      <c r="B101" t="s">
        <v>220</v>
      </c>
      <c r="C101" t="str">
        <v>October</v>
      </c>
      <c r="D101" t="s">
        <v>45</v>
      </c>
      <c r="E101" t="s">
        <v>12</v>
      </c>
      <c r="H101" t="s">
        <v>24</v>
      </c>
      <c r="I101">
        <f t="shared" si="4"/>
        <v>61</v>
      </c>
      <c r="J101" t="str">
        <f t="shared" si="5"/>
        <v>Accessories</v>
      </c>
      <c r="K101">
        <v>3</v>
      </c>
      <c r="L101">
        <v>564</v>
      </c>
      <c r="M101">
        <v>1692</v>
      </c>
      <c r="N101" t="str">
        <v>Low Sales</v>
      </c>
      <c r="O101" t="str">
        <f t="shared" si="6"/>
        <v>Normal</v>
      </c>
    </row>
    <row r="102" spans="1:15" x14ac:dyDescent="0.3">
      <c r="A102" t="s">
        <v>221</v>
      </c>
      <c r="B102" t="s">
        <v>222</v>
      </c>
      <c r="C102" t="str">
        <v>December</v>
      </c>
      <c r="D102" t="s">
        <v>22</v>
      </c>
      <c r="E102" t="s">
        <v>42</v>
      </c>
      <c r="H102" t="s">
        <v>18</v>
      </c>
      <c r="I102">
        <f t="shared" si="4"/>
        <v>55</v>
      </c>
      <c r="J102" t="str">
        <f t="shared" si="5"/>
        <v>Accessories</v>
      </c>
      <c r="K102">
        <v>5</v>
      </c>
      <c r="L102">
        <v>332</v>
      </c>
      <c r="M102">
        <v>1660</v>
      </c>
      <c r="N102" t="str">
        <v>Low Sales</v>
      </c>
      <c r="O102" t="str">
        <f t="shared" si="6"/>
        <v>Normal</v>
      </c>
    </row>
    <row r="103" spans="1:15" x14ac:dyDescent="0.3">
      <c r="A103" t="s">
        <v>223</v>
      </c>
      <c r="B103" t="s">
        <v>224</v>
      </c>
      <c r="C103" t="str">
        <v>March</v>
      </c>
      <c r="D103" t="s">
        <v>36</v>
      </c>
      <c r="E103" t="s">
        <v>42</v>
      </c>
      <c r="H103" t="s">
        <v>33</v>
      </c>
      <c r="I103">
        <f t="shared" si="4"/>
        <v>43</v>
      </c>
      <c r="J103" t="str">
        <f t="shared" si="5"/>
        <v>Accessories</v>
      </c>
      <c r="K103">
        <v>5</v>
      </c>
      <c r="L103">
        <v>162</v>
      </c>
      <c r="M103">
        <v>810</v>
      </c>
      <c r="N103" t="str">
        <v>Low Sales</v>
      </c>
      <c r="O103" t="str">
        <f t="shared" si="6"/>
        <v>Normal</v>
      </c>
    </row>
    <row r="104" spans="1:15" x14ac:dyDescent="0.3">
      <c r="A104" t="s">
        <v>225</v>
      </c>
      <c r="B104" t="s">
        <v>226</v>
      </c>
      <c r="C104" t="str">
        <v>February</v>
      </c>
      <c r="D104" t="s">
        <v>11</v>
      </c>
      <c r="E104" t="s">
        <v>17</v>
      </c>
      <c r="H104" t="s">
        <v>18</v>
      </c>
      <c r="I104">
        <f t="shared" si="4"/>
        <v>55</v>
      </c>
      <c r="J104" t="str">
        <f t="shared" si="5"/>
        <v>Accessories</v>
      </c>
      <c r="K104">
        <v>5</v>
      </c>
      <c r="L104">
        <v>157</v>
      </c>
      <c r="M104">
        <v>785</v>
      </c>
      <c r="N104" t="str">
        <v>Low Sales</v>
      </c>
      <c r="O104" t="str">
        <f t="shared" si="6"/>
        <v>Normal</v>
      </c>
    </row>
    <row r="105" spans="1:15" x14ac:dyDescent="0.3">
      <c r="A105" t="s">
        <v>227</v>
      </c>
      <c r="B105" t="s">
        <v>228</v>
      </c>
      <c r="C105" t="str">
        <v>May</v>
      </c>
      <c r="D105" t="s">
        <v>22</v>
      </c>
      <c r="E105" t="s">
        <v>23</v>
      </c>
      <c r="H105" t="s">
        <v>33</v>
      </c>
      <c r="I105">
        <f t="shared" si="4"/>
        <v>43</v>
      </c>
      <c r="J105" t="str">
        <f t="shared" si="5"/>
        <v>Accessories</v>
      </c>
      <c r="K105">
        <v>5</v>
      </c>
      <c r="L105">
        <v>627</v>
      </c>
      <c r="M105">
        <v>3135</v>
      </c>
      <c r="N105" t="str">
        <v>High Sales</v>
      </c>
      <c r="O105" t="str">
        <f t="shared" si="6"/>
        <v>Normal</v>
      </c>
    </row>
    <row r="106" spans="1:15" x14ac:dyDescent="0.3">
      <c r="A106" t="s">
        <v>229</v>
      </c>
      <c r="B106" t="s">
        <v>230</v>
      </c>
      <c r="C106" t="str">
        <v>September</v>
      </c>
      <c r="D106" t="s">
        <v>36</v>
      </c>
      <c r="E106" t="s">
        <v>12</v>
      </c>
      <c r="H106" t="s">
        <v>39</v>
      </c>
      <c r="I106">
        <f t="shared" si="4"/>
        <v>46</v>
      </c>
      <c r="J106" t="str">
        <f t="shared" si="5"/>
        <v>Electronics</v>
      </c>
      <c r="K106">
        <v>1</v>
      </c>
      <c r="L106">
        <v>612</v>
      </c>
      <c r="M106">
        <v>612</v>
      </c>
      <c r="N106" t="str">
        <v>Low Sales</v>
      </c>
      <c r="O106" t="str">
        <f t="shared" si="6"/>
        <v>Normal</v>
      </c>
    </row>
    <row r="107" spans="1:15" x14ac:dyDescent="0.3">
      <c r="A107" t="s">
        <v>231</v>
      </c>
      <c r="B107" t="s">
        <v>232</v>
      </c>
      <c r="C107" t="str">
        <v>June</v>
      </c>
      <c r="D107" t="s">
        <v>11</v>
      </c>
      <c r="E107" t="s">
        <v>12</v>
      </c>
      <c r="H107" t="s">
        <v>18</v>
      </c>
      <c r="I107">
        <f t="shared" si="4"/>
        <v>55</v>
      </c>
      <c r="J107" t="str">
        <f t="shared" si="5"/>
        <v>Accessories</v>
      </c>
      <c r="K107">
        <v>5</v>
      </c>
      <c r="L107">
        <v>389</v>
      </c>
      <c r="M107">
        <v>1945</v>
      </c>
      <c r="N107" t="str">
        <v>Low Sales</v>
      </c>
      <c r="O107" t="str">
        <f t="shared" si="6"/>
        <v>Normal</v>
      </c>
    </row>
    <row r="108" spans="1:15" x14ac:dyDescent="0.3">
      <c r="A108" t="s">
        <v>233</v>
      </c>
      <c r="B108" t="s">
        <v>139</v>
      </c>
      <c r="C108" t="str">
        <v>July</v>
      </c>
      <c r="D108" t="s">
        <v>22</v>
      </c>
      <c r="E108" t="s">
        <v>12</v>
      </c>
      <c r="H108" t="s">
        <v>18</v>
      </c>
      <c r="I108">
        <f t="shared" si="4"/>
        <v>55</v>
      </c>
      <c r="J108" t="str">
        <f t="shared" si="5"/>
        <v>Accessories</v>
      </c>
      <c r="K108">
        <v>2</v>
      </c>
      <c r="L108">
        <v>768</v>
      </c>
      <c r="M108">
        <v>1536</v>
      </c>
      <c r="N108" t="str">
        <v>Low Sales</v>
      </c>
      <c r="O108" t="str">
        <f t="shared" si="6"/>
        <v>Normal</v>
      </c>
    </row>
    <row r="109" spans="1:15" x14ac:dyDescent="0.3">
      <c r="A109" t="s">
        <v>234</v>
      </c>
      <c r="B109" t="s">
        <v>235</v>
      </c>
      <c r="C109" t="str">
        <v>August</v>
      </c>
      <c r="D109" t="s">
        <v>36</v>
      </c>
      <c r="E109" t="s">
        <v>17</v>
      </c>
      <c r="H109" t="s">
        <v>13</v>
      </c>
      <c r="I109">
        <f t="shared" si="4"/>
        <v>56</v>
      </c>
      <c r="J109" t="str">
        <f t="shared" si="5"/>
        <v>Electronics</v>
      </c>
      <c r="K109">
        <v>2</v>
      </c>
      <c r="L109">
        <v>576</v>
      </c>
      <c r="M109">
        <v>1152</v>
      </c>
      <c r="N109" t="str">
        <v>Low Sales</v>
      </c>
      <c r="O109" t="str">
        <f t="shared" si="6"/>
        <v>Normal</v>
      </c>
    </row>
    <row r="110" spans="1:15" x14ac:dyDescent="0.3">
      <c r="A110" t="s">
        <v>236</v>
      </c>
      <c r="B110" t="s">
        <v>237</v>
      </c>
      <c r="C110" t="str">
        <v>January</v>
      </c>
      <c r="D110" t="s">
        <v>27</v>
      </c>
      <c r="E110" t="s">
        <v>42</v>
      </c>
      <c r="H110" t="s">
        <v>18</v>
      </c>
      <c r="I110">
        <f t="shared" si="4"/>
        <v>55</v>
      </c>
      <c r="J110" t="str">
        <f t="shared" si="5"/>
        <v>Accessories</v>
      </c>
      <c r="K110">
        <v>1</v>
      </c>
      <c r="L110">
        <v>783</v>
      </c>
      <c r="M110">
        <v>783</v>
      </c>
      <c r="N110" t="str">
        <v>Low Sales</v>
      </c>
      <c r="O110" t="str">
        <f t="shared" si="6"/>
        <v>Normal</v>
      </c>
    </row>
    <row r="111" spans="1:15" x14ac:dyDescent="0.3">
      <c r="A111" t="s">
        <v>238</v>
      </c>
      <c r="B111" t="s">
        <v>239</v>
      </c>
      <c r="C111" t="str">
        <v>November</v>
      </c>
      <c r="D111" t="s">
        <v>36</v>
      </c>
      <c r="E111" t="s">
        <v>32</v>
      </c>
      <c r="H111" t="s">
        <v>13</v>
      </c>
      <c r="I111">
        <f t="shared" si="4"/>
        <v>56</v>
      </c>
      <c r="J111" t="str">
        <f t="shared" si="5"/>
        <v>Electronics</v>
      </c>
      <c r="K111">
        <v>10</v>
      </c>
      <c r="L111">
        <v>774</v>
      </c>
      <c r="M111">
        <v>7740</v>
      </c>
      <c r="N111" t="str">
        <v>High Sales</v>
      </c>
      <c r="O111" t="str">
        <f t="shared" si="6"/>
        <v>Top order</v>
      </c>
    </row>
    <row r="112" spans="1:15" x14ac:dyDescent="0.3">
      <c r="A112" t="s">
        <v>240</v>
      </c>
      <c r="B112" t="s">
        <v>241</v>
      </c>
      <c r="C112" t="str">
        <v>April</v>
      </c>
      <c r="D112" t="s">
        <v>22</v>
      </c>
      <c r="E112" t="s">
        <v>12</v>
      </c>
      <c r="H112" t="s">
        <v>39</v>
      </c>
      <c r="I112">
        <f t="shared" si="4"/>
        <v>46</v>
      </c>
      <c r="J112" t="str">
        <f t="shared" si="5"/>
        <v>Electronics</v>
      </c>
      <c r="K112">
        <v>8</v>
      </c>
      <c r="L112">
        <v>724</v>
      </c>
      <c r="M112">
        <v>5792</v>
      </c>
      <c r="N112" t="str">
        <v>High Sales</v>
      </c>
      <c r="O112" t="str">
        <f t="shared" si="6"/>
        <v>Top order</v>
      </c>
    </row>
    <row r="113" spans="1:15" x14ac:dyDescent="0.3">
      <c r="A113" t="s">
        <v>242</v>
      </c>
      <c r="B113" t="s">
        <v>243</v>
      </c>
      <c r="C113" t="str">
        <v>May</v>
      </c>
      <c r="D113" t="s">
        <v>27</v>
      </c>
      <c r="E113" t="s">
        <v>58</v>
      </c>
      <c r="H113" t="s">
        <v>18</v>
      </c>
      <c r="I113">
        <f t="shared" si="4"/>
        <v>55</v>
      </c>
      <c r="J113" t="str">
        <f t="shared" si="5"/>
        <v>Accessories</v>
      </c>
      <c r="K113">
        <v>3</v>
      </c>
      <c r="L113">
        <v>249</v>
      </c>
      <c r="M113">
        <v>747</v>
      </c>
      <c r="N113" t="str">
        <v>Low Sales</v>
      </c>
      <c r="O113" t="str">
        <f t="shared" si="6"/>
        <v>Normal</v>
      </c>
    </row>
    <row r="114" spans="1:15" x14ac:dyDescent="0.3">
      <c r="A114" t="s">
        <v>244</v>
      </c>
      <c r="B114" t="s">
        <v>245</v>
      </c>
      <c r="C114" t="str">
        <v>October</v>
      </c>
      <c r="D114" t="s">
        <v>45</v>
      </c>
      <c r="E114" t="s">
        <v>23</v>
      </c>
      <c r="H114" t="s">
        <v>74</v>
      </c>
      <c r="I114">
        <f t="shared" si="4"/>
        <v>39</v>
      </c>
      <c r="J114" t="str">
        <f t="shared" si="5"/>
        <v>Accessories</v>
      </c>
      <c r="K114">
        <v>4</v>
      </c>
      <c r="L114">
        <v>434</v>
      </c>
      <c r="M114">
        <v>1736</v>
      </c>
      <c r="N114" t="str">
        <v>Low Sales</v>
      </c>
      <c r="O114" t="str">
        <f t="shared" si="6"/>
        <v>Normal</v>
      </c>
    </row>
    <row r="115" spans="1:15" x14ac:dyDescent="0.3">
      <c r="A115" t="s">
        <v>246</v>
      </c>
      <c r="B115" t="s">
        <v>247</v>
      </c>
      <c r="C115" t="str">
        <v>August</v>
      </c>
      <c r="D115" t="s">
        <v>22</v>
      </c>
      <c r="E115" t="s">
        <v>23</v>
      </c>
      <c r="H115" t="s">
        <v>33</v>
      </c>
      <c r="I115">
        <f t="shared" si="4"/>
        <v>43</v>
      </c>
      <c r="J115" t="str">
        <f t="shared" si="5"/>
        <v>Accessories</v>
      </c>
      <c r="K115">
        <v>1</v>
      </c>
      <c r="L115">
        <v>661</v>
      </c>
      <c r="M115">
        <v>661</v>
      </c>
      <c r="N115" t="str">
        <v>Low Sales</v>
      </c>
      <c r="O115" t="str">
        <f t="shared" si="6"/>
        <v>Normal</v>
      </c>
    </row>
    <row r="116" spans="1:15" x14ac:dyDescent="0.3">
      <c r="A116" t="s">
        <v>248</v>
      </c>
      <c r="B116" t="s">
        <v>249</v>
      </c>
      <c r="C116" t="str">
        <v>May</v>
      </c>
      <c r="D116" t="s">
        <v>22</v>
      </c>
      <c r="E116" t="s">
        <v>32</v>
      </c>
      <c r="H116" t="s">
        <v>24</v>
      </c>
      <c r="I116">
        <f t="shared" si="4"/>
        <v>61</v>
      </c>
      <c r="J116" t="str">
        <f t="shared" si="5"/>
        <v>Accessories</v>
      </c>
      <c r="K116">
        <v>4</v>
      </c>
      <c r="L116">
        <v>225</v>
      </c>
      <c r="M116">
        <v>900</v>
      </c>
      <c r="N116" t="str">
        <v>Low Sales</v>
      </c>
      <c r="O116" t="str">
        <f t="shared" si="6"/>
        <v>Normal</v>
      </c>
    </row>
    <row r="117" spans="1:15" x14ac:dyDescent="0.3">
      <c r="A117" t="s">
        <v>250</v>
      </c>
      <c r="B117" t="s">
        <v>251</v>
      </c>
      <c r="C117" t="str">
        <v>December</v>
      </c>
      <c r="D117" t="s">
        <v>27</v>
      </c>
      <c r="E117" t="s">
        <v>17</v>
      </c>
      <c r="H117" t="s">
        <v>39</v>
      </c>
      <c r="I117">
        <f t="shared" si="4"/>
        <v>46</v>
      </c>
      <c r="J117" t="str">
        <f t="shared" si="5"/>
        <v>Electronics</v>
      </c>
      <c r="K117">
        <v>6</v>
      </c>
      <c r="L117">
        <v>417</v>
      </c>
      <c r="M117">
        <v>2502</v>
      </c>
      <c r="N117" t="str">
        <v>Low Sales</v>
      </c>
      <c r="O117" t="str">
        <f t="shared" si="6"/>
        <v>Normal</v>
      </c>
    </row>
    <row r="118" spans="1:15" x14ac:dyDescent="0.3">
      <c r="A118" t="s">
        <v>252</v>
      </c>
      <c r="B118" t="s">
        <v>253</v>
      </c>
      <c r="C118" t="str">
        <v>September</v>
      </c>
      <c r="D118" t="s">
        <v>45</v>
      </c>
      <c r="E118" t="s">
        <v>32</v>
      </c>
      <c r="H118" t="s">
        <v>24</v>
      </c>
      <c r="I118">
        <f t="shared" si="4"/>
        <v>61</v>
      </c>
      <c r="J118" t="str">
        <f t="shared" si="5"/>
        <v>Accessories</v>
      </c>
      <c r="K118">
        <v>5</v>
      </c>
      <c r="L118">
        <v>329</v>
      </c>
      <c r="M118">
        <v>1645</v>
      </c>
      <c r="N118" t="str">
        <v>Low Sales</v>
      </c>
      <c r="O118" t="str">
        <f t="shared" si="6"/>
        <v>Normal</v>
      </c>
    </row>
    <row r="119" spans="1:15" x14ac:dyDescent="0.3">
      <c r="A119" t="s">
        <v>254</v>
      </c>
      <c r="B119" t="s">
        <v>160</v>
      </c>
      <c r="C119" t="str">
        <v>May</v>
      </c>
      <c r="D119" t="s">
        <v>22</v>
      </c>
      <c r="E119" t="s">
        <v>17</v>
      </c>
      <c r="H119" t="s">
        <v>24</v>
      </c>
      <c r="I119">
        <f t="shared" si="4"/>
        <v>61</v>
      </c>
      <c r="J119" t="str">
        <f t="shared" si="5"/>
        <v>Accessories</v>
      </c>
      <c r="K119">
        <v>10</v>
      </c>
      <c r="L119">
        <v>466</v>
      </c>
      <c r="M119">
        <v>4660</v>
      </c>
      <c r="N119" t="str">
        <v>High Sales</v>
      </c>
      <c r="O119" t="str">
        <f t="shared" si="6"/>
        <v>Top order</v>
      </c>
    </row>
    <row r="120" spans="1:15" x14ac:dyDescent="0.3">
      <c r="A120" t="s">
        <v>255</v>
      </c>
      <c r="B120" t="s">
        <v>256</v>
      </c>
      <c r="C120" t="str">
        <v>March</v>
      </c>
      <c r="D120" t="s">
        <v>36</v>
      </c>
      <c r="E120" t="s">
        <v>58</v>
      </c>
      <c r="H120" t="s">
        <v>24</v>
      </c>
      <c r="I120">
        <f t="shared" si="4"/>
        <v>61</v>
      </c>
      <c r="J120" t="str">
        <f t="shared" si="5"/>
        <v>Accessories</v>
      </c>
      <c r="K120">
        <v>8</v>
      </c>
      <c r="L120">
        <v>129</v>
      </c>
      <c r="M120">
        <v>1032</v>
      </c>
      <c r="N120" t="str">
        <v>Low Sales</v>
      </c>
      <c r="O120" t="str">
        <f t="shared" si="6"/>
        <v>Normal</v>
      </c>
    </row>
    <row r="121" spans="1:15" x14ac:dyDescent="0.3">
      <c r="A121" t="s">
        <v>257</v>
      </c>
      <c r="B121" t="s">
        <v>258</v>
      </c>
      <c r="C121" t="str">
        <v>June</v>
      </c>
      <c r="D121" t="s">
        <v>22</v>
      </c>
      <c r="E121" t="s">
        <v>23</v>
      </c>
      <c r="H121" t="s">
        <v>18</v>
      </c>
      <c r="I121">
        <f t="shared" si="4"/>
        <v>55</v>
      </c>
      <c r="J121" t="str">
        <f t="shared" si="5"/>
        <v>Accessories</v>
      </c>
      <c r="K121">
        <v>2</v>
      </c>
      <c r="L121">
        <v>463</v>
      </c>
      <c r="M121">
        <v>926</v>
      </c>
      <c r="N121" t="str">
        <v>Low Sales</v>
      </c>
      <c r="O121" t="str">
        <f t="shared" si="6"/>
        <v>Normal</v>
      </c>
    </row>
    <row r="122" spans="1:15" x14ac:dyDescent="0.3">
      <c r="A122" t="s">
        <v>259</v>
      </c>
      <c r="B122" t="s">
        <v>260</v>
      </c>
      <c r="C122" t="str">
        <v>May</v>
      </c>
      <c r="D122" t="s">
        <v>45</v>
      </c>
      <c r="E122" t="s">
        <v>23</v>
      </c>
      <c r="H122" t="s">
        <v>24</v>
      </c>
      <c r="I122">
        <f t="shared" si="4"/>
        <v>61</v>
      </c>
      <c r="J122" t="str">
        <f t="shared" si="5"/>
        <v>Accessories</v>
      </c>
      <c r="K122">
        <v>8</v>
      </c>
      <c r="L122">
        <v>407</v>
      </c>
      <c r="M122">
        <v>3256</v>
      </c>
      <c r="N122" t="str">
        <v>High Sales</v>
      </c>
      <c r="O122" t="str">
        <f t="shared" si="6"/>
        <v>Top order</v>
      </c>
    </row>
    <row r="123" spans="1:15" x14ac:dyDescent="0.3">
      <c r="A123" t="s">
        <v>261</v>
      </c>
      <c r="B123" t="s">
        <v>262</v>
      </c>
      <c r="C123" t="str">
        <v>August</v>
      </c>
      <c r="D123" t="s">
        <v>22</v>
      </c>
      <c r="E123" t="s">
        <v>32</v>
      </c>
      <c r="H123" t="s">
        <v>74</v>
      </c>
      <c r="I123">
        <f t="shared" si="4"/>
        <v>39</v>
      </c>
      <c r="J123" t="str">
        <f t="shared" si="5"/>
        <v>Accessories</v>
      </c>
      <c r="K123">
        <v>3</v>
      </c>
      <c r="L123">
        <v>590</v>
      </c>
      <c r="M123">
        <v>1770</v>
      </c>
      <c r="N123" t="str">
        <v>Low Sales</v>
      </c>
      <c r="O123" t="str">
        <f t="shared" si="6"/>
        <v>Normal</v>
      </c>
    </row>
    <row r="124" spans="1:15" x14ac:dyDescent="0.3">
      <c r="A124" t="s">
        <v>263</v>
      </c>
      <c r="B124" t="s">
        <v>264</v>
      </c>
      <c r="C124" t="str">
        <v>November</v>
      </c>
      <c r="D124" t="s">
        <v>22</v>
      </c>
      <c r="E124" t="s">
        <v>58</v>
      </c>
      <c r="H124" t="s">
        <v>24</v>
      </c>
      <c r="I124">
        <f t="shared" si="4"/>
        <v>61</v>
      </c>
      <c r="J124" t="str">
        <f t="shared" si="5"/>
        <v>Accessories</v>
      </c>
      <c r="K124">
        <v>10</v>
      </c>
      <c r="L124">
        <v>587</v>
      </c>
      <c r="M124">
        <v>5870</v>
      </c>
      <c r="N124" t="str">
        <v>High Sales</v>
      </c>
      <c r="O124" t="str">
        <f t="shared" si="6"/>
        <v>Top order</v>
      </c>
    </row>
    <row r="125" spans="1:15" x14ac:dyDescent="0.3">
      <c r="A125" t="s">
        <v>265</v>
      </c>
      <c r="B125" t="s">
        <v>266</v>
      </c>
      <c r="C125" t="str">
        <v>July</v>
      </c>
      <c r="D125" t="s">
        <v>22</v>
      </c>
      <c r="E125" t="s">
        <v>12</v>
      </c>
      <c r="H125" t="s">
        <v>24</v>
      </c>
      <c r="I125">
        <f t="shared" si="4"/>
        <v>61</v>
      </c>
      <c r="J125" t="str">
        <f t="shared" si="5"/>
        <v>Accessories</v>
      </c>
      <c r="K125">
        <v>10</v>
      </c>
      <c r="L125">
        <v>221</v>
      </c>
      <c r="M125">
        <v>2210</v>
      </c>
      <c r="N125" t="str">
        <v>Low Sales</v>
      </c>
      <c r="O125" t="str">
        <f t="shared" si="6"/>
        <v>Normal</v>
      </c>
    </row>
    <row r="126" spans="1:15" x14ac:dyDescent="0.3">
      <c r="A126" t="s">
        <v>267</v>
      </c>
      <c r="B126" t="s">
        <v>47</v>
      </c>
      <c r="C126" t="str">
        <v>June</v>
      </c>
      <c r="D126" t="s">
        <v>45</v>
      </c>
      <c r="E126" t="s">
        <v>58</v>
      </c>
      <c r="H126" t="s">
        <v>39</v>
      </c>
      <c r="I126">
        <f t="shared" si="4"/>
        <v>46</v>
      </c>
      <c r="J126" t="str">
        <f t="shared" si="5"/>
        <v>Electronics</v>
      </c>
      <c r="K126">
        <v>7</v>
      </c>
      <c r="L126">
        <v>190</v>
      </c>
      <c r="M126">
        <v>1330</v>
      </c>
      <c r="N126" t="str">
        <v>Low Sales</v>
      </c>
      <c r="O126" t="str">
        <f t="shared" si="6"/>
        <v>Normal</v>
      </c>
    </row>
    <row r="127" spans="1:15" x14ac:dyDescent="0.3">
      <c r="A127" t="s">
        <v>268</v>
      </c>
      <c r="B127" t="s">
        <v>269</v>
      </c>
      <c r="C127" t="str">
        <v>February</v>
      </c>
      <c r="D127" t="s">
        <v>36</v>
      </c>
      <c r="E127" t="s">
        <v>42</v>
      </c>
      <c r="H127" t="s">
        <v>33</v>
      </c>
      <c r="I127">
        <f t="shared" si="4"/>
        <v>43</v>
      </c>
      <c r="J127" t="str">
        <f t="shared" si="5"/>
        <v>Accessories</v>
      </c>
      <c r="K127">
        <v>1</v>
      </c>
      <c r="L127">
        <v>87</v>
      </c>
      <c r="M127">
        <v>87</v>
      </c>
      <c r="N127" t="str">
        <v>Low Sales</v>
      </c>
      <c r="O127" t="str">
        <f t="shared" si="6"/>
        <v>Normal</v>
      </c>
    </row>
    <row r="128" spans="1:15" x14ac:dyDescent="0.3">
      <c r="A128" t="s">
        <v>270</v>
      </c>
      <c r="B128" t="s">
        <v>271</v>
      </c>
      <c r="C128" t="str">
        <v>March</v>
      </c>
      <c r="D128" t="s">
        <v>27</v>
      </c>
      <c r="E128" t="s">
        <v>58</v>
      </c>
      <c r="H128" t="s">
        <v>24</v>
      </c>
      <c r="I128">
        <f t="shared" si="4"/>
        <v>61</v>
      </c>
      <c r="J128" t="str">
        <f t="shared" si="5"/>
        <v>Accessories</v>
      </c>
      <c r="K128">
        <v>8</v>
      </c>
      <c r="L128">
        <v>175</v>
      </c>
      <c r="M128">
        <v>1400</v>
      </c>
      <c r="N128" t="str">
        <v>Low Sales</v>
      </c>
      <c r="O128" t="str">
        <f t="shared" si="6"/>
        <v>Normal</v>
      </c>
    </row>
    <row r="129" spans="1:15" x14ac:dyDescent="0.3">
      <c r="A129" t="s">
        <v>272</v>
      </c>
      <c r="B129" t="s">
        <v>273</v>
      </c>
      <c r="C129" t="str">
        <v>September</v>
      </c>
      <c r="D129" t="s">
        <v>45</v>
      </c>
      <c r="E129" t="s">
        <v>42</v>
      </c>
      <c r="H129" t="s">
        <v>74</v>
      </c>
      <c r="I129">
        <f t="shared" si="4"/>
        <v>39</v>
      </c>
      <c r="J129" t="str">
        <f t="shared" si="5"/>
        <v>Accessories</v>
      </c>
      <c r="K129">
        <v>10</v>
      </c>
      <c r="L129">
        <v>438</v>
      </c>
      <c r="M129">
        <v>4380</v>
      </c>
      <c r="N129" t="str">
        <v>High Sales</v>
      </c>
      <c r="O129" t="str">
        <f t="shared" si="6"/>
        <v>Top order</v>
      </c>
    </row>
    <row r="130" spans="1:15" x14ac:dyDescent="0.3">
      <c r="A130" t="s">
        <v>274</v>
      </c>
      <c r="B130" t="s">
        <v>275</v>
      </c>
      <c r="C130" t="str">
        <v>January</v>
      </c>
      <c r="D130" t="s">
        <v>27</v>
      </c>
      <c r="E130" t="s">
        <v>17</v>
      </c>
      <c r="H130" t="s">
        <v>18</v>
      </c>
      <c r="I130">
        <f t="shared" si="4"/>
        <v>55</v>
      </c>
      <c r="J130" t="str">
        <f t="shared" si="5"/>
        <v>Accessories</v>
      </c>
      <c r="K130">
        <v>3</v>
      </c>
      <c r="L130">
        <v>235</v>
      </c>
      <c r="M130">
        <v>705</v>
      </c>
      <c r="N130" t="str">
        <v>Low Sales</v>
      </c>
      <c r="O130" t="str">
        <f t="shared" si="6"/>
        <v>Normal</v>
      </c>
    </row>
    <row r="131" spans="1:15" x14ac:dyDescent="0.3">
      <c r="A131" t="s">
        <v>276</v>
      </c>
      <c r="B131" t="s">
        <v>168</v>
      </c>
      <c r="C131" t="str">
        <v>November</v>
      </c>
      <c r="D131" t="s">
        <v>22</v>
      </c>
      <c r="E131" t="s">
        <v>58</v>
      </c>
      <c r="H131" t="s">
        <v>18</v>
      </c>
      <c r="I131">
        <f t="shared" ref="I131:I194" si="7">COUNTIF($H$2:$H$301,H131)</f>
        <v>55</v>
      </c>
      <c r="J131" t="str">
        <f t="shared" ref="J131:J194" si="8">IF(OR(H131="Monitor",H131="Laptop"),"Electronics","Accessories")</f>
        <v>Accessories</v>
      </c>
      <c r="K131">
        <v>8</v>
      </c>
      <c r="L131">
        <v>776</v>
      </c>
      <c r="M131">
        <v>6208</v>
      </c>
      <c r="N131" t="str">
        <v>High Sales</v>
      </c>
      <c r="O131" t="str">
        <f t="shared" ref="O131:O194" si="9">IF(AND(M131&gt;3000,K131&gt;5),"Top order","Normal")</f>
        <v>Top order</v>
      </c>
    </row>
    <row r="132" spans="1:15" x14ac:dyDescent="0.3">
      <c r="A132" t="s">
        <v>277</v>
      </c>
      <c r="B132" t="s">
        <v>278</v>
      </c>
      <c r="C132" t="str">
        <v>June</v>
      </c>
      <c r="D132" t="s">
        <v>45</v>
      </c>
      <c r="E132" t="s">
        <v>58</v>
      </c>
      <c r="H132" t="s">
        <v>74</v>
      </c>
      <c r="I132">
        <f t="shared" si="7"/>
        <v>39</v>
      </c>
      <c r="J132" t="str">
        <f t="shared" si="8"/>
        <v>Accessories</v>
      </c>
      <c r="K132">
        <v>3</v>
      </c>
      <c r="L132">
        <v>284</v>
      </c>
      <c r="M132">
        <v>852</v>
      </c>
      <c r="N132" t="str">
        <v>Low Sales</v>
      </c>
      <c r="O132" t="str">
        <f t="shared" si="9"/>
        <v>Normal</v>
      </c>
    </row>
    <row r="133" spans="1:15" x14ac:dyDescent="0.3">
      <c r="A133" t="s">
        <v>279</v>
      </c>
      <c r="B133" t="s">
        <v>280</v>
      </c>
      <c r="C133" t="str">
        <v>February</v>
      </c>
      <c r="D133" t="s">
        <v>36</v>
      </c>
      <c r="E133" t="s">
        <v>17</v>
      </c>
      <c r="H133" t="s">
        <v>33</v>
      </c>
      <c r="I133">
        <f t="shared" si="7"/>
        <v>43</v>
      </c>
      <c r="J133" t="str">
        <f t="shared" si="8"/>
        <v>Accessories</v>
      </c>
      <c r="K133">
        <v>4</v>
      </c>
      <c r="L133">
        <v>436</v>
      </c>
      <c r="M133">
        <v>1744</v>
      </c>
      <c r="N133" t="str">
        <v>Low Sales</v>
      </c>
      <c r="O133" t="str">
        <f t="shared" si="9"/>
        <v>Normal</v>
      </c>
    </row>
    <row r="134" spans="1:15" x14ac:dyDescent="0.3">
      <c r="A134" t="s">
        <v>281</v>
      </c>
      <c r="B134" t="s">
        <v>282</v>
      </c>
      <c r="C134" t="str">
        <v>November</v>
      </c>
      <c r="D134" t="s">
        <v>27</v>
      </c>
      <c r="E134" t="s">
        <v>32</v>
      </c>
      <c r="H134" t="s">
        <v>39</v>
      </c>
      <c r="I134">
        <f t="shared" si="7"/>
        <v>46</v>
      </c>
      <c r="J134" t="str">
        <f t="shared" si="8"/>
        <v>Electronics</v>
      </c>
      <c r="K134">
        <v>4</v>
      </c>
      <c r="L134">
        <v>357</v>
      </c>
      <c r="M134">
        <v>1428</v>
      </c>
      <c r="N134" t="str">
        <v>Low Sales</v>
      </c>
      <c r="O134" t="str">
        <f t="shared" si="9"/>
        <v>Normal</v>
      </c>
    </row>
    <row r="135" spans="1:15" x14ac:dyDescent="0.3">
      <c r="A135" t="s">
        <v>283</v>
      </c>
      <c r="B135" t="s">
        <v>143</v>
      </c>
      <c r="C135" t="str">
        <v>February</v>
      </c>
      <c r="D135" t="s">
        <v>45</v>
      </c>
      <c r="E135" t="s">
        <v>17</v>
      </c>
      <c r="H135" t="s">
        <v>13</v>
      </c>
      <c r="I135">
        <f t="shared" si="7"/>
        <v>56</v>
      </c>
      <c r="J135" t="str">
        <f t="shared" si="8"/>
        <v>Electronics</v>
      </c>
      <c r="K135">
        <v>7</v>
      </c>
      <c r="L135">
        <v>787</v>
      </c>
      <c r="M135">
        <v>5509</v>
      </c>
      <c r="N135" t="str">
        <v>High Sales</v>
      </c>
      <c r="O135" t="str">
        <f t="shared" si="9"/>
        <v>Top order</v>
      </c>
    </row>
    <row r="136" spans="1:15" x14ac:dyDescent="0.3">
      <c r="A136" t="s">
        <v>284</v>
      </c>
      <c r="B136" t="s">
        <v>285</v>
      </c>
      <c r="C136" t="str">
        <v>January</v>
      </c>
      <c r="D136" t="s">
        <v>45</v>
      </c>
      <c r="E136" t="s">
        <v>17</v>
      </c>
      <c r="H136" t="s">
        <v>39</v>
      </c>
      <c r="I136">
        <f t="shared" si="7"/>
        <v>46</v>
      </c>
      <c r="J136" t="str">
        <f t="shared" si="8"/>
        <v>Electronics</v>
      </c>
      <c r="K136">
        <v>7</v>
      </c>
      <c r="L136">
        <v>669</v>
      </c>
      <c r="M136">
        <v>4683</v>
      </c>
      <c r="N136" t="str">
        <v>High Sales</v>
      </c>
      <c r="O136" t="str">
        <f t="shared" si="9"/>
        <v>Top order</v>
      </c>
    </row>
    <row r="137" spans="1:15" x14ac:dyDescent="0.3">
      <c r="A137" t="s">
        <v>286</v>
      </c>
      <c r="B137" t="s">
        <v>156</v>
      </c>
      <c r="C137" t="str">
        <v>February</v>
      </c>
      <c r="D137" t="s">
        <v>27</v>
      </c>
      <c r="E137" t="s">
        <v>12</v>
      </c>
      <c r="H137" t="s">
        <v>39</v>
      </c>
      <c r="I137">
        <f t="shared" si="7"/>
        <v>46</v>
      </c>
      <c r="J137" t="str">
        <f t="shared" si="8"/>
        <v>Electronics</v>
      </c>
      <c r="K137">
        <v>8</v>
      </c>
      <c r="L137">
        <v>748</v>
      </c>
      <c r="M137">
        <v>5984</v>
      </c>
      <c r="N137" t="str">
        <v>High Sales</v>
      </c>
      <c r="O137" t="str">
        <f t="shared" si="9"/>
        <v>Top order</v>
      </c>
    </row>
    <row r="138" spans="1:15" x14ac:dyDescent="0.3">
      <c r="A138" t="s">
        <v>287</v>
      </c>
      <c r="B138" t="s">
        <v>288</v>
      </c>
      <c r="C138" t="str">
        <v>June</v>
      </c>
      <c r="D138" t="s">
        <v>11</v>
      </c>
      <c r="E138" t="s">
        <v>58</v>
      </c>
      <c r="H138" t="s">
        <v>33</v>
      </c>
      <c r="I138">
        <f t="shared" si="7"/>
        <v>43</v>
      </c>
      <c r="J138" t="str">
        <f t="shared" si="8"/>
        <v>Accessories</v>
      </c>
      <c r="K138">
        <v>1</v>
      </c>
      <c r="L138">
        <v>511</v>
      </c>
      <c r="M138">
        <v>511</v>
      </c>
      <c r="N138" t="str">
        <v>Low Sales</v>
      </c>
      <c r="O138" t="str">
        <f t="shared" si="9"/>
        <v>Normal</v>
      </c>
    </row>
    <row r="139" spans="1:15" x14ac:dyDescent="0.3">
      <c r="A139" t="s">
        <v>289</v>
      </c>
      <c r="B139" t="s">
        <v>290</v>
      </c>
      <c r="C139" t="str">
        <v>January</v>
      </c>
      <c r="D139" t="s">
        <v>45</v>
      </c>
      <c r="E139" t="s">
        <v>58</v>
      </c>
      <c r="H139" t="s">
        <v>74</v>
      </c>
      <c r="I139">
        <f t="shared" si="7"/>
        <v>39</v>
      </c>
      <c r="J139" t="str">
        <f t="shared" si="8"/>
        <v>Accessories</v>
      </c>
      <c r="K139">
        <v>4</v>
      </c>
      <c r="L139">
        <v>22</v>
      </c>
      <c r="M139">
        <v>88</v>
      </c>
      <c r="N139" t="str">
        <v>Low Sales</v>
      </c>
      <c r="O139" t="str">
        <f t="shared" si="9"/>
        <v>Normal</v>
      </c>
    </row>
    <row r="140" spans="1:15" x14ac:dyDescent="0.3">
      <c r="A140" t="s">
        <v>291</v>
      </c>
      <c r="B140" t="s">
        <v>292</v>
      </c>
      <c r="C140" t="str">
        <v>October</v>
      </c>
      <c r="D140" t="s">
        <v>11</v>
      </c>
      <c r="E140" t="s">
        <v>23</v>
      </c>
      <c r="H140" t="s">
        <v>39</v>
      </c>
      <c r="I140">
        <f t="shared" si="7"/>
        <v>46</v>
      </c>
      <c r="J140" t="str">
        <f t="shared" si="8"/>
        <v>Electronics</v>
      </c>
      <c r="K140">
        <v>5</v>
      </c>
      <c r="L140">
        <v>632</v>
      </c>
      <c r="M140">
        <v>3160</v>
      </c>
      <c r="N140" t="str">
        <v>High Sales</v>
      </c>
      <c r="O140" t="str">
        <f t="shared" si="9"/>
        <v>Normal</v>
      </c>
    </row>
    <row r="141" spans="1:15" x14ac:dyDescent="0.3">
      <c r="A141" t="s">
        <v>293</v>
      </c>
      <c r="B141" t="s">
        <v>294</v>
      </c>
      <c r="C141" t="str">
        <v>October</v>
      </c>
      <c r="D141" t="s">
        <v>22</v>
      </c>
      <c r="E141" t="s">
        <v>42</v>
      </c>
      <c r="H141" t="s">
        <v>24</v>
      </c>
      <c r="I141">
        <f t="shared" si="7"/>
        <v>61</v>
      </c>
      <c r="J141" t="str">
        <f t="shared" si="8"/>
        <v>Accessories</v>
      </c>
      <c r="K141">
        <v>2</v>
      </c>
      <c r="L141">
        <v>122</v>
      </c>
      <c r="M141">
        <v>244</v>
      </c>
      <c r="N141" t="str">
        <v>Low Sales</v>
      </c>
      <c r="O141" t="str">
        <f t="shared" si="9"/>
        <v>Normal</v>
      </c>
    </row>
    <row r="142" spans="1:15" x14ac:dyDescent="0.3">
      <c r="A142" t="s">
        <v>295</v>
      </c>
      <c r="B142" t="s">
        <v>296</v>
      </c>
      <c r="C142" t="str">
        <v>November</v>
      </c>
      <c r="D142" t="s">
        <v>11</v>
      </c>
      <c r="E142" t="s">
        <v>32</v>
      </c>
      <c r="H142" t="s">
        <v>39</v>
      </c>
      <c r="I142">
        <f t="shared" si="7"/>
        <v>46</v>
      </c>
      <c r="J142" t="str">
        <f t="shared" si="8"/>
        <v>Electronics</v>
      </c>
      <c r="K142">
        <v>2</v>
      </c>
      <c r="L142">
        <v>125</v>
      </c>
      <c r="M142">
        <v>250</v>
      </c>
      <c r="N142" t="str">
        <v>Low Sales</v>
      </c>
      <c r="O142" t="str">
        <f t="shared" si="9"/>
        <v>Normal</v>
      </c>
    </row>
    <row r="143" spans="1:15" x14ac:dyDescent="0.3">
      <c r="A143" t="s">
        <v>297</v>
      </c>
      <c r="B143" t="s">
        <v>298</v>
      </c>
      <c r="C143" t="str">
        <v>July</v>
      </c>
      <c r="D143" t="s">
        <v>11</v>
      </c>
      <c r="E143" t="s">
        <v>12</v>
      </c>
      <c r="H143" t="s">
        <v>39</v>
      </c>
      <c r="I143">
        <f t="shared" si="7"/>
        <v>46</v>
      </c>
      <c r="J143" t="str">
        <f t="shared" si="8"/>
        <v>Electronics</v>
      </c>
      <c r="K143">
        <v>1</v>
      </c>
      <c r="L143">
        <v>522</v>
      </c>
      <c r="M143">
        <v>522</v>
      </c>
      <c r="N143" t="str">
        <v>Low Sales</v>
      </c>
      <c r="O143" t="str">
        <f t="shared" si="9"/>
        <v>Normal</v>
      </c>
    </row>
    <row r="144" spans="1:15" x14ac:dyDescent="0.3">
      <c r="A144" t="s">
        <v>299</v>
      </c>
      <c r="B144" t="s">
        <v>197</v>
      </c>
      <c r="C144" t="str">
        <v>December</v>
      </c>
      <c r="D144" t="s">
        <v>11</v>
      </c>
      <c r="E144" t="s">
        <v>42</v>
      </c>
      <c r="H144" t="s">
        <v>74</v>
      </c>
      <c r="I144">
        <f t="shared" si="7"/>
        <v>39</v>
      </c>
      <c r="J144" t="str">
        <f t="shared" si="8"/>
        <v>Accessories</v>
      </c>
      <c r="K144">
        <v>10</v>
      </c>
      <c r="L144">
        <v>672</v>
      </c>
      <c r="M144">
        <v>6720</v>
      </c>
      <c r="N144" t="str">
        <v>High Sales</v>
      </c>
      <c r="O144" t="str">
        <f t="shared" si="9"/>
        <v>Top order</v>
      </c>
    </row>
    <row r="145" spans="1:15" x14ac:dyDescent="0.3">
      <c r="A145" t="s">
        <v>300</v>
      </c>
      <c r="B145" t="s">
        <v>301</v>
      </c>
      <c r="C145" t="str">
        <v>August</v>
      </c>
      <c r="D145" t="s">
        <v>45</v>
      </c>
      <c r="E145" t="s">
        <v>23</v>
      </c>
      <c r="H145" t="s">
        <v>74</v>
      </c>
      <c r="I145">
        <f t="shared" si="7"/>
        <v>39</v>
      </c>
      <c r="J145" t="str">
        <f t="shared" si="8"/>
        <v>Accessories</v>
      </c>
      <c r="K145">
        <v>9</v>
      </c>
      <c r="L145">
        <v>794</v>
      </c>
      <c r="M145">
        <v>7146</v>
      </c>
      <c r="N145" t="str">
        <v>High Sales</v>
      </c>
      <c r="O145" t="str">
        <f t="shared" si="9"/>
        <v>Top order</v>
      </c>
    </row>
    <row r="146" spans="1:15" x14ac:dyDescent="0.3">
      <c r="A146" t="s">
        <v>302</v>
      </c>
      <c r="B146" t="s">
        <v>303</v>
      </c>
      <c r="C146" t="str">
        <v>October</v>
      </c>
      <c r="D146" t="s">
        <v>36</v>
      </c>
      <c r="E146" t="s">
        <v>12</v>
      </c>
      <c r="H146" t="s">
        <v>13</v>
      </c>
      <c r="I146">
        <f t="shared" si="7"/>
        <v>56</v>
      </c>
      <c r="J146" t="str">
        <f t="shared" si="8"/>
        <v>Electronics</v>
      </c>
      <c r="K146">
        <v>9</v>
      </c>
      <c r="L146">
        <v>552</v>
      </c>
      <c r="M146">
        <v>4968</v>
      </c>
      <c r="N146" t="str">
        <v>High Sales</v>
      </c>
      <c r="O146" t="str">
        <f t="shared" si="9"/>
        <v>Top order</v>
      </c>
    </row>
    <row r="147" spans="1:15" x14ac:dyDescent="0.3">
      <c r="A147" t="s">
        <v>304</v>
      </c>
      <c r="B147" t="s">
        <v>249</v>
      </c>
      <c r="C147" t="str">
        <v>May</v>
      </c>
      <c r="D147" t="s">
        <v>45</v>
      </c>
      <c r="E147" t="s">
        <v>58</v>
      </c>
      <c r="H147" t="s">
        <v>18</v>
      </c>
      <c r="I147">
        <f t="shared" si="7"/>
        <v>55</v>
      </c>
      <c r="J147" t="str">
        <f t="shared" si="8"/>
        <v>Accessories</v>
      </c>
      <c r="K147">
        <v>1</v>
      </c>
      <c r="L147">
        <v>783</v>
      </c>
      <c r="M147">
        <v>783</v>
      </c>
      <c r="N147" t="str">
        <v>Low Sales</v>
      </c>
      <c r="O147" t="str">
        <f t="shared" si="9"/>
        <v>Normal</v>
      </c>
    </row>
    <row r="148" spans="1:15" x14ac:dyDescent="0.3">
      <c r="A148" t="s">
        <v>305</v>
      </c>
      <c r="B148" t="s">
        <v>306</v>
      </c>
      <c r="C148" t="str">
        <v>September</v>
      </c>
      <c r="D148" t="s">
        <v>22</v>
      </c>
      <c r="E148" t="s">
        <v>58</v>
      </c>
      <c r="H148" t="s">
        <v>74</v>
      </c>
      <c r="I148">
        <f t="shared" si="7"/>
        <v>39</v>
      </c>
      <c r="J148" t="str">
        <f t="shared" si="8"/>
        <v>Accessories</v>
      </c>
      <c r="K148">
        <v>1</v>
      </c>
      <c r="L148">
        <v>148</v>
      </c>
      <c r="M148">
        <v>148</v>
      </c>
      <c r="N148" t="str">
        <v>Low Sales</v>
      </c>
      <c r="O148" t="str">
        <f t="shared" si="9"/>
        <v>Normal</v>
      </c>
    </row>
    <row r="149" spans="1:15" x14ac:dyDescent="0.3">
      <c r="A149" t="s">
        <v>307</v>
      </c>
      <c r="B149" t="s">
        <v>308</v>
      </c>
      <c r="C149" t="str">
        <v>October</v>
      </c>
      <c r="D149" t="s">
        <v>27</v>
      </c>
      <c r="E149" t="s">
        <v>12</v>
      </c>
      <c r="H149" t="s">
        <v>39</v>
      </c>
      <c r="I149">
        <f t="shared" si="7"/>
        <v>46</v>
      </c>
      <c r="J149" t="str">
        <f t="shared" si="8"/>
        <v>Electronics</v>
      </c>
      <c r="K149">
        <v>10</v>
      </c>
      <c r="L149">
        <v>517</v>
      </c>
      <c r="M149">
        <v>5170</v>
      </c>
      <c r="N149" t="str">
        <v>High Sales</v>
      </c>
      <c r="O149" t="str">
        <f t="shared" si="9"/>
        <v>Top order</v>
      </c>
    </row>
    <row r="150" spans="1:15" x14ac:dyDescent="0.3">
      <c r="A150" t="s">
        <v>309</v>
      </c>
      <c r="B150" t="s">
        <v>121</v>
      </c>
      <c r="C150" t="str">
        <v>January</v>
      </c>
      <c r="D150" t="s">
        <v>27</v>
      </c>
      <c r="E150" t="s">
        <v>23</v>
      </c>
      <c r="H150" t="s">
        <v>74</v>
      </c>
      <c r="I150">
        <f t="shared" si="7"/>
        <v>39</v>
      </c>
      <c r="J150" t="str">
        <f t="shared" si="8"/>
        <v>Accessories</v>
      </c>
      <c r="K150">
        <v>2</v>
      </c>
      <c r="L150">
        <v>656</v>
      </c>
      <c r="M150">
        <v>1312</v>
      </c>
      <c r="N150" t="str">
        <v>Low Sales</v>
      </c>
      <c r="O150" t="str">
        <f t="shared" si="9"/>
        <v>Normal</v>
      </c>
    </row>
    <row r="151" spans="1:15" x14ac:dyDescent="0.3">
      <c r="A151" t="s">
        <v>310</v>
      </c>
      <c r="B151" t="s">
        <v>311</v>
      </c>
      <c r="C151" t="str">
        <v>May</v>
      </c>
      <c r="D151" t="s">
        <v>27</v>
      </c>
      <c r="E151" t="s">
        <v>58</v>
      </c>
      <c r="H151" t="s">
        <v>13</v>
      </c>
      <c r="I151">
        <f t="shared" si="7"/>
        <v>56</v>
      </c>
      <c r="J151" t="str">
        <f t="shared" si="8"/>
        <v>Electronics</v>
      </c>
      <c r="K151">
        <v>3</v>
      </c>
      <c r="L151">
        <v>764</v>
      </c>
      <c r="M151">
        <v>2292</v>
      </c>
      <c r="N151" t="str">
        <v>Low Sales</v>
      </c>
      <c r="O151" t="str">
        <f t="shared" si="9"/>
        <v>Normal</v>
      </c>
    </row>
    <row r="152" spans="1:15" x14ac:dyDescent="0.3">
      <c r="A152" t="s">
        <v>312</v>
      </c>
      <c r="B152" t="s">
        <v>313</v>
      </c>
      <c r="C152" t="str">
        <v>November</v>
      </c>
      <c r="D152" t="s">
        <v>27</v>
      </c>
      <c r="E152" t="s">
        <v>42</v>
      </c>
      <c r="H152" t="s">
        <v>33</v>
      </c>
      <c r="I152">
        <f t="shared" si="7"/>
        <v>43</v>
      </c>
      <c r="J152" t="str">
        <f t="shared" si="8"/>
        <v>Accessories</v>
      </c>
      <c r="K152">
        <v>7</v>
      </c>
      <c r="L152">
        <v>547</v>
      </c>
      <c r="M152">
        <v>3829</v>
      </c>
      <c r="N152" t="str">
        <v>High Sales</v>
      </c>
      <c r="O152" t="str">
        <f t="shared" si="9"/>
        <v>Top order</v>
      </c>
    </row>
    <row r="153" spans="1:15" x14ac:dyDescent="0.3">
      <c r="A153" t="s">
        <v>314</v>
      </c>
      <c r="B153" t="s">
        <v>315</v>
      </c>
      <c r="C153" t="str">
        <v>May</v>
      </c>
      <c r="D153" t="s">
        <v>36</v>
      </c>
      <c r="E153" t="s">
        <v>17</v>
      </c>
      <c r="H153" t="s">
        <v>39</v>
      </c>
      <c r="I153">
        <f t="shared" si="7"/>
        <v>46</v>
      </c>
      <c r="J153" t="str">
        <f t="shared" si="8"/>
        <v>Electronics</v>
      </c>
      <c r="K153">
        <v>4</v>
      </c>
      <c r="L153">
        <v>379</v>
      </c>
      <c r="M153">
        <v>1516</v>
      </c>
      <c r="N153" t="str">
        <v>Low Sales</v>
      </c>
      <c r="O153" t="str">
        <f t="shared" si="9"/>
        <v>Normal</v>
      </c>
    </row>
    <row r="154" spans="1:15" x14ac:dyDescent="0.3">
      <c r="A154" t="s">
        <v>316</v>
      </c>
      <c r="B154" t="s">
        <v>317</v>
      </c>
      <c r="C154" t="str">
        <v>July</v>
      </c>
      <c r="D154" t="s">
        <v>36</v>
      </c>
      <c r="E154" t="s">
        <v>12</v>
      </c>
      <c r="H154" t="s">
        <v>33</v>
      </c>
      <c r="I154">
        <f t="shared" si="7"/>
        <v>43</v>
      </c>
      <c r="J154" t="str">
        <f t="shared" si="8"/>
        <v>Accessories</v>
      </c>
      <c r="K154">
        <v>5</v>
      </c>
      <c r="L154">
        <v>606</v>
      </c>
      <c r="M154">
        <v>3030</v>
      </c>
      <c r="N154" t="str">
        <v>High Sales</v>
      </c>
      <c r="O154" t="str">
        <f t="shared" si="9"/>
        <v>Normal</v>
      </c>
    </row>
    <row r="155" spans="1:15" x14ac:dyDescent="0.3">
      <c r="A155" t="s">
        <v>318</v>
      </c>
      <c r="B155" t="s">
        <v>35</v>
      </c>
      <c r="C155" t="str">
        <v>January</v>
      </c>
      <c r="D155" t="s">
        <v>36</v>
      </c>
      <c r="E155" t="s">
        <v>32</v>
      </c>
      <c r="H155" t="s">
        <v>13</v>
      </c>
      <c r="I155">
        <f t="shared" si="7"/>
        <v>56</v>
      </c>
      <c r="J155" t="str">
        <f t="shared" si="8"/>
        <v>Electronics</v>
      </c>
      <c r="K155">
        <v>8</v>
      </c>
      <c r="L155">
        <v>91</v>
      </c>
      <c r="M155">
        <v>728</v>
      </c>
      <c r="N155" t="str">
        <v>Low Sales</v>
      </c>
      <c r="O155" t="str">
        <f t="shared" si="9"/>
        <v>Normal</v>
      </c>
    </row>
    <row r="156" spans="1:15" x14ac:dyDescent="0.3">
      <c r="A156" t="s">
        <v>319</v>
      </c>
      <c r="B156" t="s">
        <v>320</v>
      </c>
      <c r="C156" t="str">
        <v>February</v>
      </c>
      <c r="D156" t="s">
        <v>22</v>
      </c>
      <c r="E156" t="s">
        <v>42</v>
      </c>
      <c r="H156" t="s">
        <v>24</v>
      </c>
      <c r="I156">
        <f t="shared" si="7"/>
        <v>61</v>
      </c>
      <c r="J156" t="str">
        <f t="shared" si="8"/>
        <v>Accessories</v>
      </c>
      <c r="K156">
        <v>2</v>
      </c>
      <c r="L156">
        <v>541</v>
      </c>
      <c r="M156">
        <v>1082</v>
      </c>
      <c r="N156" t="str">
        <v>Low Sales</v>
      </c>
      <c r="O156" t="str">
        <f t="shared" si="9"/>
        <v>Normal</v>
      </c>
    </row>
    <row r="157" spans="1:15" x14ac:dyDescent="0.3">
      <c r="A157" t="s">
        <v>321</v>
      </c>
      <c r="B157" t="s">
        <v>322</v>
      </c>
      <c r="C157" t="str">
        <v>March</v>
      </c>
      <c r="D157" t="s">
        <v>45</v>
      </c>
      <c r="E157" t="s">
        <v>12</v>
      </c>
      <c r="H157" t="s">
        <v>18</v>
      </c>
      <c r="I157">
        <f t="shared" si="7"/>
        <v>55</v>
      </c>
      <c r="J157" t="str">
        <f t="shared" si="8"/>
        <v>Accessories</v>
      </c>
      <c r="K157">
        <v>8</v>
      </c>
      <c r="L157">
        <v>268</v>
      </c>
      <c r="M157">
        <v>2144</v>
      </c>
      <c r="N157" t="str">
        <v>Low Sales</v>
      </c>
      <c r="O157" t="str">
        <f t="shared" si="9"/>
        <v>Normal</v>
      </c>
    </row>
    <row r="158" spans="1:15" x14ac:dyDescent="0.3">
      <c r="A158" t="s">
        <v>323</v>
      </c>
      <c r="B158" t="s">
        <v>324</v>
      </c>
      <c r="C158" t="str">
        <v>April</v>
      </c>
      <c r="D158" t="s">
        <v>36</v>
      </c>
      <c r="E158" t="s">
        <v>23</v>
      </c>
      <c r="H158" t="s">
        <v>74</v>
      </c>
      <c r="I158">
        <f t="shared" si="7"/>
        <v>39</v>
      </c>
      <c r="J158" t="str">
        <f t="shared" si="8"/>
        <v>Accessories</v>
      </c>
      <c r="K158">
        <v>9</v>
      </c>
      <c r="L158">
        <v>410</v>
      </c>
      <c r="M158">
        <v>3690</v>
      </c>
      <c r="N158" t="str">
        <v>High Sales</v>
      </c>
      <c r="O158" t="str">
        <f t="shared" si="9"/>
        <v>Top order</v>
      </c>
    </row>
    <row r="159" spans="1:15" x14ac:dyDescent="0.3">
      <c r="A159" t="s">
        <v>325</v>
      </c>
      <c r="B159" t="s">
        <v>326</v>
      </c>
      <c r="C159" t="str">
        <v>July</v>
      </c>
      <c r="D159" t="s">
        <v>11</v>
      </c>
      <c r="E159" t="s">
        <v>17</v>
      </c>
      <c r="H159" t="s">
        <v>13</v>
      </c>
      <c r="I159">
        <f t="shared" si="7"/>
        <v>56</v>
      </c>
      <c r="J159" t="str">
        <f t="shared" si="8"/>
        <v>Electronics</v>
      </c>
      <c r="K159">
        <v>9</v>
      </c>
      <c r="L159">
        <v>735</v>
      </c>
      <c r="M159">
        <v>6615</v>
      </c>
      <c r="N159" t="str">
        <v>High Sales</v>
      </c>
      <c r="O159" t="str">
        <f t="shared" si="9"/>
        <v>Top order</v>
      </c>
    </row>
    <row r="160" spans="1:15" x14ac:dyDescent="0.3">
      <c r="A160" t="s">
        <v>327</v>
      </c>
      <c r="B160" t="s">
        <v>212</v>
      </c>
      <c r="C160" t="str">
        <v>October</v>
      </c>
      <c r="D160" t="s">
        <v>45</v>
      </c>
      <c r="E160" t="s">
        <v>58</v>
      </c>
      <c r="H160" t="s">
        <v>18</v>
      </c>
      <c r="I160">
        <f t="shared" si="7"/>
        <v>55</v>
      </c>
      <c r="J160" t="str">
        <f t="shared" si="8"/>
        <v>Accessories</v>
      </c>
      <c r="K160">
        <v>8</v>
      </c>
      <c r="L160">
        <v>450</v>
      </c>
      <c r="M160">
        <v>3600</v>
      </c>
      <c r="N160" t="str">
        <v>High Sales</v>
      </c>
      <c r="O160" t="str">
        <f t="shared" si="9"/>
        <v>Top order</v>
      </c>
    </row>
    <row r="161" spans="1:15" x14ac:dyDescent="0.3">
      <c r="A161" t="s">
        <v>328</v>
      </c>
      <c r="B161" t="s">
        <v>329</v>
      </c>
      <c r="C161" t="str">
        <v>February</v>
      </c>
      <c r="D161" t="s">
        <v>36</v>
      </c>
      <c r="E161" t="s">
        <v>58</v>
      </c>
      <c r="H161" t="s">
        <v>13</v>
      </c>
      <c r="I161">
        <f t="shared" si="7"/>
        <v>56</v>
      </c>
      <c r="J161" t="str">
        <f t="shared" si="8"/>
        <v>Electronics</v>
      </c>
      <c r="K161">
        <v>3</v>
      </c>
      <c r="L161">
        <v>101</v>
      </c>
      <c r="M161">
        <v>303</v>
      </c>
      <c r="N161" t="str">
        <v>Low Sales</v>
      </c>
      <c r="O161" t="str">
        <f t="shared" si="9"/>
        <v>Normal</v>
      </c>
    </row>
    <row r="162" spans="1:15" x14ac:dyDescent="0.3">
      <c r="A162" t="s">
        <v>330</v>
      </c>
      <c r="B162" t="s">
        <v>331</v>
      </c>
      <c r="C162" t="str">
        <v>July</v>
      </c>
      <c r="D162" t="s">
        <v>27</v>
      </c>
      <c r="E162" t="s">
        <v>58</v>
      </c>
      <c r="H162" t="s">
        <v>33</v>
      </c>
      <c r="I162">
        <f t="shared" si="7"/>
        <v>43</v>
      </c>
      <c r="J162" t="str">
        <f t="shared" si="8"/>
        <v>Accessories</v>
      </c>
      <c r="K162">
        <v>1</v>
      </c>
      <c r="L162">
        <v>93</v>
      </c>
      <c r="M162">
        <v>93</v>
      </c>
      <c r="N162" t="str">
        <v>Low Sales</v>
      </c>
      <c r="O162" t="str">
        <f t="shared" si="9"/>
        <v>Normal</v>
      </c>
    </row>
    <row r="163" spans="1:15" x14ac:dyDescent="0.3">
      <c r="A163" t="s">
        <v>332</v>
      </c>
      <c r="B163" t="s">
        <v>333</v>
      </c>
      <c r="C163" t="str">
        <v>December</v>
      </c>
      <c r="D163" t="s">
        <v>22</v>
      </c>
      <c r="E163" t="s">
        <v>12</v>
      </c>
      <c r="H163" t="s">
        <v>39</v>
      </c>
      <c r="I163">
        <f t="shared" si="7"/>
        <v>46</v>
      </c>
      <c r="J163" t="str">
        <f t="shared" si="8"/>
        <v>Electronics</v>
      </c>
      <c r="K163">
        <v>6</v>
      </c>
      <c r="L163">
        <v>141</v>
      </c>
      <c r="M163">
        <v>846</v>
      </c>
      <c r="N163" t="str">
        <v>Low Sales</v>
      </c>
      <c r="O163" t="str">
        <f t="shared" si="9"/>
        <v>Normal</v>
      </c>
    </row>
    <row r="164" spans="1:15" x14ac:dyDescent="0.3">
      <c r="A164" t="s">
        <v>334</v>
      </c>
      <c r="B164" t="s">
        <v>152</v>
      </c>
      <c r="C164" t="str">
        <v>September</v>
      </c>
      <c r="D164" t="s">
        <v>36</v>
      </c>
      <c r="E164" t="s">
        <v>42</v>
      </c>
      <c r="H164" t="s">
        <v>74</v>
      </c>
      <c r="I164">
        <f t="shared" si="7"/>
        <v>39</v>
      </c>
      <c r="J164" t="str">
        <f t="shared" si="8"/>
        <v>Accessories</v>
      </c>
      <c r="K164">
        <v>1</v>
      </c>
      <c r="L164">
        <v>276</v>
      </c>
      <c r="M164">
        <v>276</v>
      </c>
      <c r="N164" t="str">
        <v>Low Sales</v>
      </c>
      <c r="O164" t="str">
        <f t="shared" si="9"/>
        <v>Normal</v>
      </c>
    </row>
    <row r="165" spans="1:15" x14ac:dyDescent="0.3">
      <c r="A165" t="s">
        <v>335</v>
      </c>
      <c r="B165" t="s">
        <v>336</v>
      </c>
      <c r="C165" t="str">
        <v>October</v>
      </c>
      <c r="D165" t="s">
        <v>22</v>
      </c>
      <c r="E165" t="s">
        <v>12</v>
      </c>
      <c r="H165" t="s">
        <v>33</v>
      </c>
      <c r="I165">
        <f t="shared" si="7"/>
        <v>43</v>
      </c>
      <c r="J165" t="str">
        <f t="shared" si="8"/>
        <v>Accessories</v>
      </c>
      <c r="K165">
        <v>6</v>
      </c>
      <c r="L165">
        <v>394</v>
      </c>
      <c r="M165">
        <v>2364</v>
      </c>
      <c r="N165" t="str">
        <v>Low Sales</v>
      </c>
      <c r="O165" t="str">
        <f t="shared" si="9"/>
        <v>Normal</v>
      </c>
    </row>
    <row r="166" spans="1:15" x14ac:dyDescent="0.3">
      <c r="A166" t="s">
        <v>337</v>
      </c>
      <c r="B166" t="s">
        <v>338</v>
      </c>
      <c r="C166" t="str">
        <v>June</v>
      </c>
      <c r="D166" t="s">
        <v>27</v>
      </c>
      <c r="E166" t="s">
        <v>58</v>
      </c>
      <c r="H166" t="s">
        <v>24</v>
      </c>
      <c r="I166">
        <f t="shared" si="7"/>
        <v>61</v>
      </c>
      <c r="J166" t="str">
        <f t="shared" si="8"/>
        <v>Accessories</v>
      </c>
      <c r="K166">
        <v>4</v>
      </c>
      <c r="L166">
        <v>450</v>
      </c>
      <c r="M166">
        <v>1800</v>
      </c>
      <c r="N166" t="str">
        <v>Low Sales</v>
      </c>
      <c r="O166" t="str">
        <f t="shared" si="9"/>
        <v>Normal</v>
      </c>
    </row>
    <row r="167" spans="1:15" x14ac:dyDescent="0.3">
      <c r="A167" t="s">
        <v>339</v>
      </c>
      <c r="B167" t="s">
        <v>285</v>
      </c>
      <c r="C167" t="str">
        <v>January</v>
      </c>
      <c r="D167" t="s">
        <v>45</v>
      </c>
      <c r="E167" t="s">
        <v>12</v>
      </c>
      <c r="H167" t="s">
        <v>18</v>
      </c>
      <c r="I167">
        <f t="shared" si="7"/>
        <v>55</v>
      </c>
      <c r="J167" t="str">
        <f t="shared" si="8"/>
        <v>Accessories</v>
      </c>
      <c r="K167">
        <v>1</v>
      </c>
      <c r="L167">
        <v>634</v>
      </c>
      <c r="M167">
        <v>634</v>
      </c>
      <c r="N167" t="str">
        <v>Low Sales</v>
      </c>
      <c r="O167" t="str">
        <f t="shared" si="9"/>
        <v>Normal</v>
      </c>
    </row>
    <row r="168" spans="1:15" x14ac:dyDescent="0.3">
      <c r="A168" t="s">
        <v>340</v>
      </c>
      <c r="B168" t="s">
        <v>341</v>
      </c>
      <c r="C168" t="str">
        <v>June</v>
      </c>
      <c r="D168" t="s">
        <v>45</v>
      </c>
      <c r="E168" t="s">
        <v>42</v>
      </c>
      <c r="H168" t="s">
        <v>24</v>
      </c>
      <c r="I168">
        <f t="shared" si="7"/>
        <v>61</v>
      </c>
      <c r="J168" t="str">
        <f t="shared" si="8"/>
        <v>Accessories</v>
      </c>
      <c r="K168">
        <v>10</v>
      </c>
      <c r="L168">
        <v>484</v>
      </c>
      <c r="M168">
        <v>4840</v>
      </c>
      <c r="N168" t="str">
        <v>High Sales</v>
      </c>
      <c r="O168" t="str">
        <f t="shared" si="9"/>
        <v>Top order</v>
      </c>
    </row>
    <row r="169" spans="1:15" x14ac:dyDescent="0.3">
      <c r="A169" t="s">
        <v>342</v>
      </c>
      <c r="B169" t="s">
        <v>230</v>
      </c>
      <c r="C169" t="str">
        <v>September</v>
      </c>
      <c r="D169" t="s">
        <v>45</v>
      </c>
      <c r="E169" t="s">
        <v>12</v>
      </c>
      <c r="H169" t="s">
        <v>39</v>
      </c>
      <c r="I169">
        <f t="shared" si="7"/>
        <v>46</v>
      </c>
      <c r="J169" t="str">
        <f t="shared" si="8"/>
        <v>Electronics</v>
      </c>
      <c r="K169">
        <v>2</v>
      </c>
      <c r="L169">
        <v>73</v>
      </c>
      <c r="M169">
        <v>146</v>
      </c>
      <c r="N169" t="str">
        <v>Low Sales</v>
      </c>
      <c r="O169" t="str">
        <f t="shared" si="9"/>
        <v>Normal</v>
      </c>
    </row>
    <row r="170" spans="1:15" x14ac:dyDescent="0.3">
      <c r="A170" t="s">
        <v>343</v>
      </c>
      <c r="B170" t="s">
        <v>235</v>
      </c>
      <c r="C170" t="str">
        <v>August</v>
      </c>
      <c r="D170" t="s">
        <v>27</v>
      </c>
      <c r="E170" t="s">
        <v>32</v>
      </c>
      <c r="H170" t="s">
        <v>33</v>
      </c>
      <c r="I170">
        <f t="shared" si="7"/>
        <v>43</v>
      </c>
      <c r="J170" t="str">
        <f t="shared" si="8"/>
        <v>Accessories</v>
      </c>
      <c r="K170">
        <v>7</v>
      </c>
      <c r="L170">
        <v>531</v>
      </c>
      <c r="M170">
        <v>3717</v>
      </c>
      <c r="N170" t="str">
        <v>High Sales</v>
      </c>
      <c r="O170" t="str">
        <f t="shared" si="9"/>
        <v>Top order</v>
      </c>
    </row>
    <row r="171" spans="1:15" x14ac:dyDescent="0.3">
      <c r="A171" t="s">
        <v>344</v>
      </c>
      <c r="B171" t="s">
        <v>345</v>
      </c>
      <c r="C171" t="str">
        <v>February</v>
      </c>
      <c r="D171" t="s">
        <v>11</v>
      </c>
      <c r="E171" t="s">
        <v>32</v>
      </c>
      <c r="H171" t="s">
        <v>18</v>
      </c>
      <c r="I171">
        <f t="shared" si="7"/>
        <v>55</v>
      </c>
      <c r="J171" t="str">
        <f t="shared" si="8"/>
        <v>Accessories</v>
      </c>
      <c r="K171">
        <v>9</v>
      </c>
      <c r="L171">
        <v>178</v>
      </c>
      <c r="M171">
        <v>1602</v>
      </c>
      <c r="N171" t="str">
        <v>Low Sales</v>
      </c>
      <c r="O171" t="str">
        <f t="shared" si="9"/>
        <v>Normal</v>
      </c>
    </row>
    <row r="172" spans="1:15" x14ac:dyDescent="0.3">
      <c r="A172" t="s">
        <v>346</v>
      </c>
      <c r="B172" t="s">
        <v>347</v>
      </c>
      <c r="C172" t="str">
        <v>January</v>
      </c>
      <c r="D172" t="s">
        <v>27</v>
      </c>
      <c r="E172" t="s">
        <v>23</v>
      </c>
      <c r="H172" t="s">
        <v>74</v>
      </c>
      <c r="I172">
        <f t="shared" si="7"/>
        <v>39</v>
      </c>
      <c r="J172" t="str">
        <f t="shared" si="8"/>
        <v>Accessories</v>
      </c>
      <c r="K172">
        <v>7</v>
      </c>
      <c r="L172">
        <v>621</v>
      </c>
      <c r="M172">
        <v>4347</v>
      </c>
      <c r="N172" t="str">
        <v>High Sales</v>
      </c>
      <c r="O172" t="str">
        <f t="shared" si="9"/>
        <v>Top order</v>
      </c>
    </row>
    <row r="173" spans="1:15" x14ac:dyDescent="0.3">
      <c r="A173" t="s">
        <v>348</v>
      </c>
      <c r="B173" t="s">
        <v>349</v>
      </c>
      <c r="C173" t="str">
        <v>June</v>
      </c>
      <c r="D173" t="s">
        <v>36</v>
      </c>
      <c r="E173" t="s">
        <v>23</v>
      </c>
      <c r="H173" t="s">
        <v>74</v>
      </c>
      <c r="I173">
        <f t="shared" si="7"/>
        <v>39</v>
      </c>
      <c r="J173" t="str">
        <f t="shared" si="8"/>
        <v>Accessories</v>
      </c>
      <c r="K173">
        <v>9</v>
      </c>
      <c r="L173">
        <v>752</v>
      </c>
      <c r="M173">
        <v>6768</v>
      </c>
      <c r="N173" t="str">
        <v>High Sales</v>
      </c>
      <c r="O173" t="str">
        <f t="shared" si="9"/>
        <v>Top order</v>
      </c>
    </row>
    <row r="174" spans="1:15" x14ac:dyDescent="0.3">
      <c r="A174" t="s">
        <v>350</v>
      </c>
      <c r="B174" t="s">
        <v>351</v>
      </c>
      <c r="C174" t="str">
        <v>December</v>
      </c>
      <c r="D174" t="s">
        <v>11</v>
      </c>
      <c r="E174" t="s">
        <v>17</v>
      </c>
      <c r="H174" t="s">
        <v>24</v>
      </c>
      <c r="I174">
        <f t="shared" si="7"/>
        <v>61</v>
      </c>
      <c r="J174" t="str">
        <f t="shared" si="8"/>
        <v>Accessories</v>
      </c>
      <c r="K174">
        <v>7</v>
      </c>
      <c r="L174">
        <v>216</v>
      </c>
      <c r="M174">
        <v>1512</v>
      </c>
      <c r="N174" t="str">
        <v>Low Sales</v>
      </c>
      <c r="O174" t="str">
        <f t="shared" si="9"/>
        <v>Normal</v>
      </c>
    </row>
    <row r="175" spans="1:15" x14ac:dyDescent="0.3">
      <c r="A175" t="s">
        <v>352</v>
      </c>
      <c r="B175" t="s">
        <v>338</v>
      </c>
      <c r="C175" t="str">
        <v>June</v>
      </c>
      <c r="D175" t="s">
        <v>22</v>
      </c>
      <c r="E175" t="s">
        <v>32</v>
      </c>
      <c r="H175" t="s">
        <v>18</v>
      </c>
      <c r="I175">
        <f t="shared" si="7"/>
        <v>55</v>
      </c>
      <c r="J175" t="str">
        <f t="shared" si="8"/>
        <v>Accessories</v>
      </c>
      <c r="K175">
        <v>4</v>
      </c>
      <c r="L175">
        <v>387</v>
      </c>
      <c r="M175">
        <v>1548</v>
      </c>
      <c r="N175" t="str">
        <v>Low Sales</v>
      </c>
      <c r="O175" t="str">
        <f t="shared" si="9"/>
        <v>Normal</v>
      </c>
    </row>
    <row r="176" spans="1:15" x14ac:dyDescent="0.3">
      <c r="A176" t="s">
        <v>353</v>
      </c>
      <c r="B176" t="s">
        <v>354</v>
      </c>
      <c r="C176" t="str">
        <v>April</v>
      </c>
      <c r="D176" t="s">
        <v>22</v>
      </c>
      <c r="E176" t="s">
        <v>42</v>
      </c>
      <c r="H176" t="s">
        <v>33</v>
      </c>
      <c r="I176">
        <f t="shared" si="7"/>
        <v>43</v>
      </c>
      <c r="J176" t="str">
        <f t="shared" si="8"/>
        <v>Accessories</v>
      </c>
      <c r="K176">
        <v>5</v>
      </c>
      <c r="L176">
        <v>290</v>
      </c>
      <c r="M176">
        <v>1450</v>
      </c>
      <c r="N176" t="str">
        <v>Low Sales</v>
      </c>
      <c r="O176" t="str">
        <f t="shared" si="9"/>
        <v>Normal</v>
      </c>
    </row>
    <row r="177" spans="1:15" x14ac:dyDescent="0.3">
      <c r="A177" t="s">
        <v>355</v>
      </c>
      <c r="B177" t="s">
        <v>356</v>
      </c>
      <c r="C177" t="str">
        <v>November</v>
      </c>
      <c r="D177" t="s">
        <v>36</v>
      </c>
      <c r="E177" t="s">
        <v>58</v>
      </c>
      <c r="H177" t="s">
        <v>18</v>
      </c>
      <c r="I177">
        <f t="shared" si="7"/>
        <v>55</v>
      </c>
      <c r="J177" t="str">
        <f t="shared" si="8"/>
        <v>Accessories</v>
      </c>
      <c r="K177">
        <v>9</v>
      </c>
      <c r="L177">
        <v>444</v>
      </c>
      <c r="M177">
        <v>3996</v>
      </c>
      <c r="N177" t="str">
        <v>High Sales</v>
      </c>
      <c r="O177" t="str">
        <f t="shared" si="9"/>
        <v>Top order</v>
      </c>
    </row>
    <row r="178" spans="1:15" x14ac:dyDescent="0.3">
      <c r="A178" t="s">
        <v>357</v>
      </c>
      <c r="B178" t="s">
        <v>204</v>
      </c>
      <c r="C178" t="str">
        <v>February</v>
      </c>
      <c r="D178" t="s">
        <v>27</v>
      </c>
      <c r="E178" t="s">
        <v>12</v>
      </c>
      <c r="H178" t="s">
        <v>13</v>
      </c>
      <c r="I178">
        <f t="shared" si="7"/>
        <v>56</v>
      </c>
      <c r="J178" t="str">
        <f t="shared" si="8"/>
        <v>Electronics</v>
      </c>
      <c r="K178">
        <v>3</v>
      </c>
      <c r="L178">
        <v>56</v>
      </c>
      <c r="M178">
        <v>168</v>
      </c>
      <c r="N178" t="str">
        <v>Low Sales</v>
      </c>
      <c r="O178" t="str">
        <f t="shared" si="9"/>
        <v>Normal</v>
      </c>
    </row>
    <row r="179" spans="1:15" x14ac:dyDescent="0.3">
      <c r="A179" t="s">
        <v>358</v>
      </c>
      <c r="B179" t="s">
        <v>359</v>
      </c>
      <c r="C179" t="str">
        <v>November</v>
      </c>
      <c r="D179" t="s">
        <v>22</v>
      </c>
      <c r="E179" t="s">
        <v>12</v>
      </c>
      <c r="H179" t="s">
        <v>13</v>
      </c>
      <c r="I179">
        <f t="shared" si="7"/>
        <v>56</v>
      </c>
      <c r="J179" t="str">
        <f t="shared" si="8"/>
        <v>Electronics</v>
      </c>
      <c r="K179">
        <v>7</v>
      </c>
      <c r="L179">
        <v>659</v>
      </c>
      <c r="M179">
        <v>4613</v>
      </c>
      <c r="N179" t="str">
        <v>High Sales</v>
      </c>
      <c r="O179" t="str">
        <f t="shared" si="9"/>
        <v>Top order</v>
      </c>
    </row>
    <row r="180" spans="1:15" x14ac:dyDescent="0.3">
      <c r="A180" t="s">
        <v>360</v>
      </c>
      <c r="B180" t="s">
        <v>361</v>
      </c>
      <c r="C180" t="str">
        <v>January</v>
      </c>
      <c r="D180" t="s">
        <v>11</v>
      </c>
      <c r="E180" t="s">
        <v>12</v>
      </c>
      <c r="H180" t="s">
        <v>24</v>
      </c>
      <c r="I180">
        <f t="shared" si="7"/>
        <v>61</v>
      </c>
      <c r="J180" t="str">
        <f t="shared" si="8"/>
        <v>Accessories</v>
      </c>
      <c r="K180">
        <v>6</v>
      </c>
      <c r="L180">
        <v>66</v>
      </c>
      <c r="M180">
        <v>396</v>
      </c>
      <c r="N180" t="str">
        <v>Low Sales</v>
      </c>
      <c r="O180" t="str">
        <f t="shared" si="9"/>
        <v>Normal</v>
      </c>
    </row>
    <row r="181" spans="1:15" x14ac:dyDescent="0.3">
      <c r="A181" t="s">
        <v>362</v>
      </c>
      <c r="B181" t="s">
        <v>363</v>
      </c>
      <c r="C181" t="str">
        <v>April</v>
      </c>
      <c r="D181" t="s">
        <v>11</v>
      </c>
      <c r="E181" t="s">
        <v>32</v>
      </c>
      <c r="H181" t="s">
        <v>13</v>
      </c>
      <c r="I181">
        <f t="shared" si="7"/>
        <v>56</v>
      </c>
      <c r="J181" t="str">
        <f t="shared" si="8"/>
        <v>Electronics</v>
      </c>
      <c r="K181">
        <v>4</v>
      </c>
      <c r="L181">
        <v>669</v>
      </c>
      <c r="M181">
        <v>2676</v>
      </c>
      <c r="N181" t="str">
        <v>Low Sales</v>
      </c>
      <c r="O181" t="str">
        <f t="shared" si="9"/>
        <v>Normal</v>
      </c>
    </row>
    <row r="182" spans="1:15" x14ac:dyDescent="0.3">
      <c r="A182" t="s">
        <v>364</v>
      </c>
      <c r="B182" t="s">
        <v>365</v>
      </c>
      <c r="C182" t="str">
        <v>August</v>
      </c>
      <c r="D182" t="s">
        <v>22</v>
      </c>
      <c r="E182" t="s">
        <v>32</v>
      </c>
      <c r="H182" t="s">
        <v>18</v>
      </c>
      <c r="I182">
        <f t="shared" si="7"/>
        <v>55</v>
      </c>
      <c r="J182" t="str">
        <f t="shared" si="8"/>
        <v>Accessories</v>
      </c>
      <c r="K182">
        <v>10</v>
      </c>
      <c r="L182">
        <v>359</v>
      </c>
      <c r="M182">
        <v>3590</v>
      </c>
      <c r="N182" t="str">
        <v>High Sales</v>
      </c>
      <c r="O182" t="str">
        <f t="shared" si="9"/>
        <v>Top order</v>
      </c>
    </row>
    <row r="183" spans="1:15" x14ac:dyDescent="0.3">
      <c r="A183" t="s">
        <v>366</v>
      </c>
      <c r="B183" t="s">
        <v>367</v>
      </c>
      <c r="C183" t="str">
        <v>September</v>
      </c>
      <c r="D183" t="s">
        <v>27</v>
      </c>
      <c r="E183" t="s">
        <v>17</v>
      </c>
      <c r="H183" t="s">
        <v>18</v>
      </c>
      <c r="I183">
        <f t="shared" si="7"/>
        <v>55</v>
      </c>
      <c r="J183" t="str">
        <f t="shared" si="8"/>
        <v>Accessories</v>
      </c>
      <c r="K183">
        <v>2</v>
      </c>
      <c r="L183">
        <v>281</v>
      </c>
      <c r="M183">
        <v>562</v>
      </c>
      <c r="N183" t="str">
        <v>Low Sales</v>
      </c>
      <c r="O183" t="str">
        <f t="shared" si="9"/>
        <v>Normal</v>
      </c>
    </row>
    <row r="184" spans="1:15" x14ac:dyDescent="0.3">
      <c r="A184" t="s">
        <v>368</v>
      </c>
      <c r="B184" t="s">
        <v>369</v>
      </c>
      <c r="C184" t="str">
        <v>July</v>
      </c>
      <c r="D184" t="s">
        <v>36</v>
      </c>
      <c r="E184" t="s">
        <v>42</v>
      </c>
      <c r="H184" t="s">
        <v>74</v>
      </c>
      <c r="I184">
        <f t="shared" si="7"/>
        <v>39</v>
      </c>
      <c r="J184" t="str">
        <f t="shared" si="8"/>
        <v>Accessories</v>
      </c>
      <c r="K184">
        <v>3</v>
      </c>
      <c r="L184">
        <v>132</v>
      </c>
      <c r="M184">
        <v>396</v>
      </c>
      <c r="N184" t="str">
        <v>Low Sales</v>
      </c>
      <c r="O184" t="str">
        <f t="shared" si="9"/>
        <v>Normal</v>
      </c>
    </row>
    <row r="185" spans="1:15" x14ac:dyDescent="0.3">
      <c r="A185" t="s">
        <v>370</v>
      </c>
      <c r="B185" t="s">
        <v>371</v>
      </c>
      <c r="C185" t="str">
        <v>July</v>
      </c>
      <c r="D185" t="s">
        <v>22</v>
      </c>
      <c r="E185" t="s">
        <v>32</v>
      </c>
      <c r="H185" t="s">
        <v>33</v>
      </c>
      <c r="I185">
        <f t="shared" si="7"/>
        <v>43</v>
      </c>
      <c r="J185" t="str">
        <f t="shared" si="8"/>
        <v>Accessories</v>
      </c>
      <c r="K185">
        <v>4</v>
      </c>
      <c r="L185">
        <v>505</v>
      </c>
      <c r="M185">
        <v>2020</v>
      </c>
      <c r="N185" t="str">
        <v>Low Sales</v>
      </c>
      <c r="O185" t="str">
        <f t="shared" si="9"/>
        <v>Normal</v>
      </c>
    </row>
    <row r="186" spans="1:15" x14ac:dyDescent="0.3">
      <c r="A186" t="s">
        <v>372</v>
      </c>
      <c r="B186" t="s">
        <v>373</v>
      </c>
      <c r="C186" t="str">
        <v>June</v>
      </c>
      <c r="D186" t="s">
        <v>27</v>
      </c>
      <c r="E186" t="s">
        <v>58</v>
      </c>
      <c r="H186" t="s">
        <v>33</v>
      </c>
      <c r="I186">
        <f t="shared" si="7"/>
        <v>43</v>
      </c>
      <c r="J186" t="str">
        <f t="shared" si="8"/>
        <v>Accessories</v>
      </c>
      <c r="K186">
        <v>9</v>
      </c>
      <c r="L186">
        <v>639</v>
      </c>
      <c r="M186">
        <v>5751</v>
      </c>
      <c r="N186" t="str">
        <v>High Sales</v>
      </c>
      <c r="O186" t="str">
        <f t="shared" si="9"/>
        <v>Top order</v>
      </c>
    </row>
    <row r="187" spans="1:15" x14ac:dyDescent="0.3">
      <c r="A187" t="s">
        <v>374</v>
      </c>
      <c r="B187" t="s">
        <v>375</v>
      </c>
      <c r="C187" t="str">
        <v>September</v>
      </c>
      <c r="D187" t="s">
        <v>22</v>
      </c>
      <c r="E187" t="s">
        <v>23</v>
      </c>
      <c r="H187" t="s">
        <v>33</v>
      </c>
      <c r="I187">
        <f t="shared" si="7"/>
        <v>43</v>
      </c>
      <c r="J187" t="str">
        <f t="shared" si="8"/>
        <v>Accessories</v>
      </c>
      <c r="K187">
        <v>8</v>
      </c>
      <c r="L187">
        <v>539</v>
      </c>
      <c r="M187">
        <v>4312</v>
      </c>
      <c r="N187" t="str">
        <v>High Sales</v>
      </c>
      <c r="O187" t="str">
        <f t="shared" si="9"/>
        <v>Top order</v>
      </c>
    </row>
    <row r="188" spans="1:15" x14ac:dyDescent="0.3">
      <c r="A188" t="s">
        <v>376</v>
      </c>
      <c r="B188" t="s">
        <v>377</v>
      </c>
      <c r="C188" t="str">
        <v>July</v>
      </c>
      <c r="D188" t="s">
        <v>45</v>
      </c>
      <c r="E188" t="s">
        <v>17</v>
      </c>
      <c r="H188" t="s">
        <v>39</v>
      </c>
      <c r="I188">
        <f t="shared" si="7"/>
        <v>46</v>
      </c>
      <c r="J188" t="str">
        <f t="shared" si="8"/>
        <v>Electronics</v>
      </c>
      <c r="K188">
        <v>10</v>
      </c>
      <c r="L188">
        <v>295</v>
      </c>
      <c r="M188">
        <v>2950</v>
      </c>
      <c r="N188" t="str">
        <v>Low Sales</v>
      </c>
      <c r="O188" t="str">
        <f t="shared" si="9"/>
        <v>Normal</v>
      </c>
    </row>
    <row r="189" spans="1:15" x14ac:dyDescent="0.3">
      <c r="A189" t="s">
        <v>378</v>
      </c>
      <c r="B189" t="s">
        <v>38</v>
      </c>
      <c r="C189" t="str">
        <v>November</v>
      </c>
      <c r="D189" t="s">
        <v>36</v>
      </c>
      <c r="E189" t="s">
        <v>32</v>
      </c>
      <c r="H189" t="s">
        <v>13</v>
      </c>
      <c r="I189">
        <f t="shared" si="7"/>
        <v>56</v>
      </c>
      <c r="J189" t="str">
        <f t="shared" si="8"/>
        <v>Electronics</v>
      </c>
      <c r="K189">
        <v>8</v>
      </c>
      <c r="L189">
        <v>645</v>
      </c>
      <c r="M189">
        <v>5160</v>
      </c>
      <c r="N189" t="str">
        <v>High Sales</v>
      </c>
      <c r="O189" t="str">
        <f t="shared" si="9"/>
        <v>Top order</v>
      </c>
    </row>
    <row r="190" spans="1:15" x14ac:dyDescent="0.3">
      <c r="A190" t="s">
        <v>379</v>
      </c>
      <c r="B190" t="s">
        <v>380</v>
      </c>
      <c r="C190" t="str">
        <v>January</v>
      </c>
      <c r="D190" t="s">
        <v>22</v>
      </c>
      <c r="E190" t="s">
        <v>58</v>
      </c>
      <c r="H190" t="s">
        <v>39</v>
      </c>
      <c r="I190">
        <f t="shared" si="7"/>
        <v>46</v>
      </c>
      <c r="J190" t="str">
        <f t="shared" si="8"/>
        <v>Electronics</v>
      </c>
      <c r="K190">
        <v>6</v>
      </c>
      <c r="L190">
        <v>266</v>
      </c>
      <c r="M190">
        <v>1596</v>
      </c>
      <c r="N190" t="str">
        <v>Low Sales</v>
      </c>
      <c r="O190" t="str">
        <f t="shared" si="9"/>
        <v>Normal</v>
      </c>
    </row>
    <row r="191" spans="1:15" x14ac:dyDescent="0.3">
      <c r="A191" t="s">
        <v>381</v>
      </c>
      <c r="B191" t="s">
        <v>69</v>
      </c>
      <c r="C191" t="str">
        <v>September</v>
      </c>
      <c r="D191" t="s">
        <v>36</v>
      </c>
      <c r="E191" t="s">
        <v>58</v>
      </c>
      <c r="H191" t="s">
        <v>33</v>
      </c>
      <c r="I191">
        <f t="shared" si="7"/>
        <v>43</v>
      </c>
      <c r="J191" t="str">
        <f t="shared" si="8"/>
        <v>Accessories</v>
      </c>
      <c r="K191">
        <v>7</v>
      </c>
      <c r="L191">
        <v>328</v>
      </c>
      <c r="M191">
        <v>2296</v>
      </c>
      <c r="N191" t="str">
        <v>Low Sales</v>
      </c>
      <c r="O191" t="str">
        <f t="shared" si="9"/>
        <v>Normal</v>
      </c>
    </row>
    <row r="192" spans="1:15" x14ac:dyDescent="0.3">
      <c r="A192" t="s">
        <v>382</v>
      </c>
      <c r="B192" t="s">
        <v>383</v>
      </c>
      <c r="C192" t="str">
        <v>February</v>
      </c>
      <c r="D192" t="s">
        <v>11</v>
      </c>
      <c r="E192" t="s">
        <v>17</v>
      </c>
      <c r="H192" t="s">
        <v>74</v>
      </c>
      <c r="I192">
        <f t="shared" si="7"/>
        <v>39</v>
      </c>
      <c r="J192" t="str">
        <f t="shared" si="8"/>
        <v>Accessories</v>
      </c>
      <c r="K192">
        <v>3</v>
      </c>
      <c r="L192">
        <v>274</v>
      </c>
      <c r="M192">
        <v>822</v>
      </c>
      <c r="N192" t="str">
        <v>Low Sales</v>
      </c>
      <c r="O192" t="str">
        <f t="shared" si="9"/>
        <v>Normal</v>
      </c>
    </row>
    <row r="193" spans="1:15" x14ac:dyDescent="0.3">
      <c r="A193" t="s">
        <v>384</v>
      </c>
      <c r="B193" t="s">
        <v>385</v>
      </c>
      <c r="C193" t="str">
        <v>September</v>
      </c>
      <c r="D193" t="s">
        <v>27</v>
      </c>
      <c r="E193" t="s">
        <v>23</v>
      </c>
      <c r="H193" t="s">
        <v>13</v>
      </c>
      <c r="I193">
        <f t="shared" si="7"/>
        <v>56</v>
      </c>
      <c r="J193" t="str">
        <f t="shared" si="8"/>
        <v>Electronics</v>
      </c>
      <c r="K193">
        <v>10</v>
      </c>
      <c r="L193">
        <v>301</v>
      </c>
      <c r="M193">
        <v>3010</v>
      </c>
      <c r="N193" t="str">
        <v>High Sales</v>
      </c>
      <c r="O193" t="str">
        <f t="shared" si="9"/>
        <v>Top order</v>
      </c>
    </row>
    <row r="194" spans="1:15" x14ac:dyDescent="0.3">
      <c r="A194" t="s">
        <v>386</v>
      </c>
      <c r="B194" t="s">
        <v>101</v>
      </c>
      <c r="C194" t="str">
        <v>March</v>
      </c>
      <c r="D194" t="s">
        <v>22</v>
      </c>
      <c r="E194" t="s">
        <v>17</v>
      </c>
      <c r="H194" t="s">
        <v>13</v>
      </c>
      <c r="I194">
        <f t="shared" si="7"/>
        <v>56</v>
      </c>
      <c r="J194" t="str">
        <f t="shared" si="8"/>
        <v>Electronics</v>
      </c>
      <c r="K194">
        <v>4</v>
      </c>
      <c r="L194">
        <v>99</v>
      </c>
      <c r="M194">
        <v>396</v>
      </c>
      <c r="N194" t="str">
        <v>Low Sales</v>
      </c>
      <c r="O194" t="str">
        <f t="shared" si="9"/>
        <v>Normal</v>
      </c>
    </row>
    <row r="195" spans="1:15" x14ac:dyDescent="0.3">
      <c r="A195" t="s">
        <v>387</v>
      </c>
      <c r="B195" t="s">
        <v>329</v>
      </c>
      <c r="C195" t="str">
        <v>February</v>
      </c>
      <c r="D195" t="s">
        <v>36</v>
      </c>
      <c r="E195" t="s">
        <v>17</v>
      </c>
      <c r="H195" t="s">
        <v>18</v>
      </c>
      <c r="I195">
        <f t="shared" ref="I195:I258" si="10">COUNTIF($H$2:$H$301,H195)</f>
        <v>55</v>
      </c>
      <c r="J195" t="str">
        <f t="shared" ref="J195:J258" si="11">IF(OR(H195="Monitor",H195="Laptop"),"Electronics","Accessories")</f>
        <v>Accessories</v>
      </c>
      <c r="K195">
        <v>5</v>
      </c>
      <c r="L195">
        <v>375</v>
      </c>
      <c r="M195">
        <v>1875</v>
      </c>
      <c r="N195" t="str">
        <v>Low Sales</v>
      </c>
      <c r="O195" t="str">
        <f t="shared" ref="O195:O258" si="12">IF(AND(M195&gt;3000,K195&gt;5),"Top order","Normal")</f>
        <v>Normal</v>
      </c>
    </row>
    <row r="196" spans="1:15" x14ac:dyDescent="0.3">
      <c r="A196" t="s">
        <v>388</v>
      </c>
      <c r="B196" t="s">
        <v>389</v>
      </c>
      <c r="C196" t="str">
        <v>June</v>
      </c>
      <c r="D196" t="s">
        <v>27</v>
      </c>
      <c r="E196" t="s">
        <v>17</v>
      </c>
      <c r="H196" t="s">
        <v>24</v>
      </c>
      <c r="I196">
        <f t="shared" si="10"/>
        <v>61</v>
      </c>
      <c r="J196" t="str">
        <f t="shared" si="11"/>
        <v>Accessories</v>
      </c>
      <c r="K196">
        <v>2</v>
      </c>
      <c r="L196">
        <v>798</v>
      </c>
      <c r="M196">
        <v>1596</v>
      </c>
      <c r="N196" t="str">
        <v>Low Sales</v>
      </c>
      <c r="O196" t="str">
        <f t="shared" si="12"/>
        <v>Normal</v>
      </c>
    </row>
    <row r="197" spans="1:15" x14ac:dyDescent="0.3">
      <c r="A197" t="s">
        <v>390</v>
      </c>
      <c r="B197" t="s">
        <v>391</v>
      </c>
      <c r="C197" t="str">
        <v>May</v>
      </c>
      <c r="D197" t="s">
        <v>45</v>
      </c>
      <c r="E197" t="s">
        <v>42</v>
      </c>
      <c r="H197" t="s">
        <v>13</v>
      </c>
      <c r="I197">
        <f t="shared" si="10"/>
        <v>56</v>
      </c>
      <c r="J197" t="str">
        <f t="shared" si="11"/>
        <v>Electronics</v>
      </c>
      <c r="K197">
        <v>3</v>
      </c>
      <c r="L197">
        <v>150</v>
      </c>
      <c r="M197">
        <v>450</v>
      </c>
      <c r="N197" t="str">
        <v>Low Sales</v>
      </c>
      <c r="O197" t="str">
        <f t="shared" si="12"/>
        <v>Normal</v>
      </c>
    </row>
    <row r="198" spans="1:15" x14ac:dyDescent="0.3">
      <c r="A198" t="s">
        <v>392</v>
      </c>
      <c r="B198" t="s">
        <v>393</v>
      </c>
      <c r="C198" t="str">
        <v>March</v>
      </c>
      <c r="D198" t="s">
        <v>11</v>
      </c>
      <c r="E198" t="s">
        <v>17</v>
      </c>
      <c r="H198" t="s">
        <v>18</v>
      </c>
      <c r="I198">
        <f t="shared" si="10"/>
        <v>55</v>
      </c>
      <c r="J198" t="str">
        <f t="shared" si="11"/>
        <v>Accessories</v>
      </c>
      <c r="K198">
        <v>2</v>
      </c>
      <c r="L198">
        <v>262</v>
      </c>
      <c r="M198">
        <v>524</v>
      </c>
      <c r="N198" t="str">
        <v>Low Sales</v>
      </c>
      <c r="O198" t="str">
        <f t="shared" si="12"/>
        <v>Normal</v>
      </c>
    </row>
    <row r="199" spans="1:15" x14ac:dyDescent="0.3">
      <c r="A199" t="s">
        <v>394</v>
      </c>
      <c r="B199" t="s">
        <v>395</v>
      </c>
      <c r="C199" t="str">
        <v>April</v>
      </c>
      <c r="D199" t="s">
        <v>27</v>
      </c>
      <c r="E199" t="s">
        <v>42</v>
      </c>
      <c r="H199" t="s">
        <v>24</v>
      </c>
      <c r="I199">
        <f t="shared" si="10"/>
        <v>61</v>
      </c>
      <c r="J199" t="str">
        <f t="shared" si="11"/>
        <v>Accessories</v>
      </c>
      <c r="K199">
        <v>7</v>
      </c>
      <c r="L199">
        <v>358</v>
      </c>
      <c r="M199">
        <v>2506</v>
      </c>
      <c r="N199" t="str">
        <v>Low Sales</v>
      </c>
      <c r="O199" t="str">
        <f t="shared" si="12"/>
        <v>Normal</v>
      </c>
    </row>
    <row r="200" spans="1:15" x14ac:dyDescent="0.3">
      <c r="A200" t="s">
        <v>396</v>
      </c>
      <c r="B200" t="s">
        <v>397</v>
      </c>
      <c r="C200" t="str">
        <v>February</v>
      </c>
      <c r="D200" t="s">
        <v>36</v>
      </c>
      <c r="E200" t="s">
        <v>42</v>
      </c>
      <c r="H200" t="s">
        <v>24</v>
      </c>
      <c r="I200">
        <f t="shared" si="10"/>
        <v>61</v>
      </c>
      <c r="J200" t="str">
        <f t="shared" si="11"/>
        <v>Accessories</v>
      </c>
      <c r="K200">
        <v>7</v>
      </c>
      <c r="L200">
        <v>562</v>
      </c>
      <c r="M200">
        <v>3934</v>
      </c>
      <c r="N200" t="str">
        <v>High Sales</v>
      </c>
      <c r="O200" t="str">
        <f t="shared" si="12"/>
        <v>Top order</v>
      </c>
    </row>
    <row r="201" spans="1:15" x14ac:dyDescent="0.3">
      <c r="A201" t="s">
        <v>398</v>
      </c>
      <c r="B201" t="s">
        <v>399</v>
      </c>
      <c r="C201" t="str">
        <v>March</v>
      </c>
      <c r="D201" t="s">
        <v>27</v>
      </c>
      <c r="E201" t="s">
        <v>17</v>
      </c>
      <c r="H201" t="s">
        <v>13</v>
      </c>
      <c r="I201">
        <f t="shared" si="10"/>
        <v>56</v>
      </c>
      <c r="J201" t="str">
        <f t="shared" si="11"/>
        <v>Electronics</v>
      </c>
      <c r="K201">
        <v>9</v>
      </c>
      <c r="L201">
        <v>313</v>
      </c>
      <c r="M201">
        <v>2817</v>
      </c>
      <c r="N201" t="str">
        <v>Low Sales</v>
      </c>
      <c r="O201" t="str">
        <f t="shared" si="12"/>
        <v>Normal</v>
      </c>
    </row>
    <row r="202" spans="1:15" x14ac:dyDescent="0.3">
      <c r="A202" t="s">
        <v>400</v>
      </c>
      <c r="B202" t="s">
        <v>401</v>
      </c>
      <c r="C202" t="str">
        <v>October</v>
      </c>
      <c r="D202" t="s">
        <v>27</v>
      </c>
      <c r="E202" t="s">
        <v>23</v>
      </c>
      <c r="H202" t="s">
        <v>74</v>
      </c>
      <c r="I202">
        <f t="shared" si="10"/>
        <v>39</v>
      </c>
      <c r="J202" t="str">
        <f t="shared" si="11"/>
        <v>Accessories</v>
      </c>
      <c r="K202">
        <v>6</v>
      </c>
      <c r="L202">
        <v>413</v>
      </c>
      <c r="M202">
        <v>2478</v>
      </c>
      <c r="N202" t="str">
        <v>Low Sales</v>
      </c>
      <c r="O202" t="str">
        <f t="shared" si="12"/>
        <v>Normal</v>
      </c>
    </row>
    <row r="203" spans="1:15" x14ac:dyDescent="0.3">
      <c r="A203" t="s">
        <v>402</v>
      </c>
      <c r="B203" t="s">
        <v>403</v>
      </c>
      <c r="C203" t="str">
        <v>November</v>
      </c>
      <c r="D203" t="s">
        <v>36</v>
      </c>
      <c r="E203" t="s">
        <v>23</v>
      </c>
      <c r="H203" t="s">
        <v>33</v>
      </c>
      <c r="I203">
        <f t="shared" si="10"/>
        <v>43</v>
      </c>
      <c r="J203" t="str">
        <f t="shared" si="11"/>
        <v>Accessories</v>
      </c>
      <c r="K203">
        <v>8</v>
      </c>
      <c r="L203">
        <v>81</v>
      </c>
      <c r="M203">
        <v>648</v>
      </c>
      <c r="N203" t="str">
        <v>Low Sales</v>
      </c>
      <c r="O203" t="str">
        <f t="shared" si="12"/>
        <v>Normal</v>
      </c>
    </row>
    <row r="204" spans="1:15" x14ac:dyDescent="0.3">
      <c r="A204" t="s">
        <v>404</v>
      </c>
      <c r="B204" t="s">
        <v>405</v>
      </c>
      <c r="C204" t="str">
        <v>May</v>
      </c>
      <c r="D204" t="s">
        <v>45</v>
      </c>
      <c r="E204" t="s">
        <v>32</v>
      </c>
      <c r="H204" t="s">
        <v>18</v>
      </c>
      <c r="I204">
        <f t="shared" si="10"/>
        <v>55</v>
      </c>
      <c r="J204" t="str">
        <f t="shared" si="11"/>
        <v>Accessories</v>
      </c>
      <c r="K204">
        <v>10</v>
      </c>
      <c r="L204">
        <v>246</v>
      </c>
      <c r="M204">
        <v>2460</v>
      </c>
      <c r="N204" t="str">
        <v>Low Sales</v>
      </c>
      <c r="O204" t="str">
        <f t="shared" si="12"/>
        <v>Normal</v>
      </c>
    </row>
    <row r="205" spans="1:15" x14ac:dyDescent="0.3">
      <c r="A205" t="s">
        <v>406</v>
      </c>
      <c r="B205" t="s">
        <v>407</v>
      </c>
      <c r="C205" t="str">
        <v>January</v>
      </c>
      <c r="D205" t="s">
        <v>22</v>
      </c>
      <c r="E205" t="s">
        <v>17</v>
      </c>
      <c r="H205" t="s">
        <v>24</v>
      </c>
      <c r="I205">
        <f t="shared" si="10"/>
        <v>61</v>
      </c>
      <c r="J205" t="str">
        <f t="shared" si="11"/>
        <v>Accessories</v>
      </c>
      <c r="K205">
        <v>6</v>
      </c>
      <c r="L205">
        <v>609</v>
      </c>
      <c r="M205">
        <v>3654</v>
      </c>
      <c r="N205" t="str">
        <v>High Sales</v>
      </c>
      <c r="O205" t="str">
        <f t="shared" si="12"/>
        <v>Top order</v>
      </c>
    </row>
    <row r="206" spans="1:15" x14ac:dyDescent="0.3">
      <c r="A206" t="s">
        <v>408</v>
      </c>
      <c r="B206" t="s">
        <v>409</v>
      </c>
      <c r="C206" t="str">
        <v>April</v>
      </c>
      <c r="D206" t="s">
        <v>11</v>
      </c>
      <c r="E206" t="s">
        <v>32</v>
      </c>
      <c r="H206" t="s">
        <v>18</v>
      </c>
      <c r="I206">
        <f t="shared" si="10"/>
        <v>55</v>
      </c>
      <c r="J206" t="str">
        <f t="shared" si="11"/>
        <v>Accessories</v>
      </c>
      <c r="K206">
        <v>10</v>
      </c>
      <c r="L206">
        <v>146</v>
      </c>
      <c r="M206">
        <v>1460</v>
      </c>
      <c r="N206" t="str">
        <v>Low Sales</v>
      </c>
      <c r="O206" t="str">
        <f t="shared" si="12"/>
        <v>Normal</v>
      </c>
    </row>
    <row r="207" spans="1:15" x14ac:dyDescent="0.3">
      <c r="A207" t="s">
        <v>410</v>
      </c>
      <c r="B207" t="s">
        <v>411</v>
      </c>
      <c r="C207" t="str">
        <v>December</v>
      </c>
      <c r="D207" t="s">
        <v>11</v>
      </c>
      <c r="E207" t="s">
        <v>42</v>
      </c>
      <c r="H207" t="s">
        <v>33</v>
      </c>
      <c r="I207">
        <f t="shared" si="10"/>
        <v>43</v>
      </c>
      <c r="J207" t="str">
        <f t="shared" si="11"/>
        <v>Accessories</v>
      </c>
      <c r="K207">
        <v>7</v>
      </c>
      <c r="L207">
        <v>723</v>
      </c>
      <c r="M207">
        <v>5061</v>
      </c>
      <c r="N207" t="str">
        <v>High Sales</v>
      </c>
      <c r="O207" t="str">
        <f t="shared" si="12"/>
        <v>Top order</v>
      </c>
    </row>
    <row r="208" spans="1:15" x14ac:dyDescent="0.3">
      <c r="A208" t="s">
        <v>412</v>
      </c>
      <c r="B208" t="s">
        <v>413</v>
      </c>
      <c r="C208" t="str">
        <v>June</v>
      </c>
      <c r="D208" t="s">
        <v>11</v>
      </c>
      <c r="E208" t="s">
        <v>23</v>
      </c>
      <c r="H208" t="s">
        <v>24</v>
      </c>
      <c r="I208">
        <f t="shared" si="10"/>
        <v>61</v>
      </c>
      <c r="J208" t="str">
        <f t="shared" si="11"/>
        <v>Accessories</v>
      </c>
      <c r="K208">
        <v>5</v>
      </c>
      <c r="L208">
        <v>297</v>
      </c>
      <c r="M208">
        <v>1485</v>
      </c>
      <c r="N208" t="str">
        <v>Low Sales</v>
      </c>
      <c r="O208" t="str">
        <f t="shared" si="12"/>
        <v>Normal</v>
      </c>
    </row>
    <row r="209" spans="1:15" x14ac:dyDescent="0.3">
      <c r="A209" t="s">
        <v>414</v>
      </c>
      <c r="B209" t="s">
        <v>415</v>
      </c>
      <c r="C209" t="str">
        <v>August</v>
      </c>
      <c r="D209" t="s">
        <v>36</v>
      </c>
      <c r="E209" t="s">
        <v>32</v>
      </c>
      <c r="H209" t="s">
        <v>13</v>
      </c>
      <c r="I209">
        <f t="shared" si="10"/>
        <v>56</v>
      </c>
      <c r="J209" t="str">
        <f t="shared" si="11"/>
        <v>Electronics</v>
      </c>
      <c r="K209">
        <v>4</v>
      </c>
      <c r="L209">
        <v>697</v>
      </c>
      <c r="M209">
        <v>2788</v>
      </c>
      <c r="N209" t="str">
        <v>Low Sales</v>
      </c>
      <c r="O209" t="str">
        <f t="shared" si="12"/>
        <v>Normal</v>
      </c>
    </row>
    <row r="210" spans="1:15" x14ac:dyDescent="0.3">
      <c r="A210" t="s">
        <v>416</v>
      </c>
      <c r="B210" t="s">
        <v>417</v>
      </c>
      <c r="C210" t="str">
        <v>February</v>
      </c>
      <c r="D210" t="s">
        <v>11</v>
      </c>
      <c r="E210" t="s">
        <v>23</v>
      </c>
      <c r="H210" t="s">
        <v>24</v>
      </c>
      <c r="I210">
        <f t="shared" si="10"/>
        <v>61</v>
      </c>
      <c r="J210" t="str">
        <f t="shared" si="11"/>
        <v>Accessories</v>
      </c>
      <c r="K210">
        <v>6</v>
      </c>
      <c r="L210">
        <v>464</v>
      </c>
      <c r="M210">
        <v>2784</v>
      </c>
      <c r="N210" t="str">
        <v>Low Sales</v>
      </c>
      <c r="O210" t="str">
        <f t="shared" si="12"/>
        <v>Normal</v>
      </c>
    </row>
    <row r="211" spans="1:15" x14ac:dyDescent="0.3">
      <c r="A211" t="s">
        <v>418</v>
      </c>
      <c r="B211" t="s">
        <v>419</v>
      </c>
      <c r="C211" t="str">
        <v>June</v>
      </c>
      <c r="D211" t="s">
        <v>36</v>
      </c>
      <c r="E211" t="s">
        <v>32</v>
      </c>
      <c r="H211" t="s">
        <v>24</v>
      </c>
      <c r="I211">
        <f t="shared" si="10"/>
        <v>61</v>
      </c>
      <c r="J211" t="str">
        <f t="shared" si="11"/>
        <v>Accessories</v>
      </c>
      <c r="K211">
        <v>3</v>
      </c>
      <c r="L211">
        <v>183</v>
      </c>
      <c r="M211">
        <v>549</v>
      </c>
      <c r="N211" t="str">
        <v>Low Sales</v>
      </c>
      <c r="O211" t="str">
        <f t="shared" si="12"/>
        <v>Normal</v>
      </c>
    </row>
    <row r="212" spans="1:15" x14ac:dyDescent="0.3">
      <c r="A212" t="s">
        <v>420</v>
      </c>
      <c r="B212" t="s">
        <v>421</v>
      </c>
      <c r="C212" t="str">
        <v>November</v>
      </c>
      <c r="D212" t="s">
        <v>45</v>
      </c>
      <c r="E212" t="s">
        <v>23</v>
      </c>
      <c r="H212" t="s">
        <v>13</v>
      </c>
      <c r="I212">
        <f t="shared" si="10"/>
        <v>56</v>
      </c>
      <c r="J212" t="str">
        <f t="shared" si="11"/>
        <v>Electronics</v>
      </c>
      <c r="K212">
        <v>9</v>
      </c>
      <c r="L212">
        <v>262</v>
      </c>
      <c r="M212">
        <v>2358</v>
      </c>
      <c r="N212" t="str">
        <v>Low Sales</v>
      </c>
      <c r="O212" t="str">
        <f t="shared" si="12"/>
        <v>Normal</v>
      </c>
    </row>
    <row r="213" spans="1:15" x14ac:dyDescent="0.3">
      <c r="A213" t="s">
        <v>422</v>
      </c>
      <c r="B213" t="s">
        <v>423</v>
      </c>
      <c r="C213" t="str">
        <v>February</v>
      </c>
      <c r="D213" t="s">
        <v>27</v>
      </c>
      <c r="E213" t="s">
        <v>32</v>
      </c>
      <c r="H213" t="s">
        <v>39</v>
      </c>
      <c r="I213">
        <f t="shared" si="10"/>
        <v>46</v>
      </c>
      <c r="J213" t="str">
        <f t="shared" si="11"/>
        <v>Electronics</v>
      </c>
      <c r="K213">
        <v>7</v>
      </c>
      <c r="L213">
        <v>655</v>
      </c>
      <c r="M213">
        <v>4585</v>
      </c>
      <c r="N213" t="str">
        <v>High Sales</v>
      </c>
      <c r="O213" t="str">
        <f t="shared" si="12"/>
        <v>Top order</v>
      </c>
    </row>
    <row r="214" spans="1:15" x14ac:dyDescent="0.3">
      <c r="A214" t="s">
        <v>424</v>
      </c>
      <c r="B214" t="s">
        <v>425</v>
      </c>
      <c r="C214" t="str">
        <v>August</v>
      </c>
      <c r="D214" t="s">
        <v>22</v>
      </c>
      <c r="E214" t="s">
        <v>58</v>
      </c>
      <c r="H214" t="s">
        <v>18</v>
      </c>
      <c r="I214">
        <f t="shared" si="10"/>
        <v>55</v>
      </c>
      <c r="J214" t="str">
        <f t="shared" si="11"/>
        <v>Accessories</v>
      </c>
      <c r="K214">
        <v>10</v>
      </c>
      <c r="L214">
        <v>124</v>
      </c>
      <c r="M214">
        <v>1240</v>
      </c>
      <c r="N214" t="str">
        <v>Low Sales</v>
      </c>
      <c r="O214" t="str">
        <f t="shared" si="12"/>
        <v>Normal</v>
      </c>
    </row>
    <row r="215" spans="1:15" x14ac:dyDescent="0.3">
      <c r="A215" t="s">
        <v>426</v>
      </c>
      <c r="B215" t="s">
        <v>427</v>
      </c>
      <c r="C215" t="str">
        <v>October</v>
      </c>
      <c r="D215" t="s">
        <v>36</v>
      </c>
      <c r="E215" t="s">
        <v>12</v>
      </c>
      <c r="H215" t="s">
        <v>39</v>
      </c>
      <c r="I215">
        <f t="shared" si="10"/>
        <v>46</v>
      </c>
      <c r="J215" t="str">
        <f t="shared" si="11"/>
        <v>Electronics</v>
      </c>
      <c r="K215">
        <v>5</v>
      </c>
      <c r="L215">
        <v>738</v>
      </c>
      <c r="M215">
        <v>3690</v>
      </c>
      <c r="N215" t="str">
        <v>High Sales</v>
      </c>
      <c r="O215" t="str">
        <f t="shared" si="12"/>
        <v>Normal</v>
      </c>
    </row>
    <row r="216" spans="1:15" x14ac:dyDescent="0.3">
      <c r="A216" t="s">
        <v>428</v>
      </c>
      <c r="B216" t="s">
        <v>429</v>
      </c>
      <c r="C216" t="str">
        <v>January</v>
      </c>
      <c r="D216" t="s">
        <v>11</v>
      </c>
      <c r="E216" t="s">
        <v>17</v>
      </c>
      <c r="H216" t="s">
        <v>74</v>
      </c>
      <c r="I216">
        <f t="shared" si="10"/>
        <v>39</v>
      </c>
      <c r="J216" t="str">
        <f t="shared" si="11"/>
        <v>Accessories</v>
      </c>
      <c r="K216">
        <v>8</v>
      </c>
      <c r="L216">
        <v>182</v>
      </c>
      <c r="M216">
        <v>1456</v>
      </c>
      <c r="N216" t="str">
        <v>Low Sales</v>
      </c>
      <c r="O216" t="str">
        <f t="shared" si="12"/>
        <v>Normal</v>
      </c>
    </row>
    <row r="217" spans="1:15" x14ac:dyDescent="0.3">
      <c r="A217" t="s">
        <v>430</v>
      </c>
      <c r="B217" t="s">
        <v>431</v>
      </c>
      <c r="C217" t="str">
        <v>January</v>
      </c>
      <c r="D217" t="s">
        <v>11</v>
      </c>
      <c r="E217" t="s">
        <v>17</v>
      </c>
      <c r="H217" t="s">
        <v>24</v>
      </c>
      <c r="I217">
        <f t="shared" si="10"/>
        <v>61</v>
      </c>
      <c r="J217" t="str">
        <f t="shared" si="11"/>
        <v>Accessories</v>
      </c>
      <c r="K217">
        <v>2</v>
      </c>
      <c r="L217">
        <v>175</v>
      </c>
      <c r="M217">
        <v>350</v>
      </c>
      <c r="N217" t="str">
        <v>Low Sales</v>
      </c>
      <c r="O217" t="str">
        <f t="shared" si="12"/>
        <v>Normal</v>
      </c>
    </row>
    <row r="218" spans="1:15" x14ac:dyDescent="0.3">
      <c r="A218" t="s">
        <v>432</v>
      </c>
      <c r="B218" t="s">
        <v>433</v>
      </c>
      <c r="C218" t="str">
        <v>July</v>
      </c>
      <c r="D218" t="s">
        <v>36</v>
      </c>
      <c r="E218" t="s">
        <v>58</v>
      </c>
      <c r="H218" t="s">
        <v>74</v>
      </c>
      <c r="I218">
        <f t="shared" si="10"/>
        <v>39</v>
      </c>
      <c r="J218" t="str">
        <f t="shared" si="11"/>
        <v>Accessories</v>
      </c>
      <c r="K218">
        <v>2</v>
      </c>
      <c r="L218">
        <v>250</v>
      </c>
      <c r="M218">
        <v>500</v>
      </c>
      <c r="N218" t="str">
        <v>Low Sales</v>
      </c>
      <c r="O218" t="str">
        <f t="shared" si="12"/>
        <v>Normal</v>
      </c>
    </row>
    <row r="219" spans="1:15" x14ac:dyDescent="0.3">
      <c r="A219" t="s">
        <v>434</v>
      </c>
      <c r="B219" t="s">
        <v>141</v>
      </c>
      <c r="C219" t="str">
        <v>June</v>
      </c>
      <c r="D219" t="s">
        <v>36</v>
      </c>
      <c r="E219" t="s">
        <v>23</v>
      </c>
      <c r="H219" t="s">
        <v>24</v>
      </c>
      <c r="I219">
        <f t="shared" si="10"/>
        <v>61</v>
      </c>
      <c r="J219" t="str">
        <f t="shared" si="11"/>
        <v>Accessories</v>
      </c>
      <c r="K219">
        <v>1</v>
      </c>
      <c r="L219">
        <v>63</v>
      </c>
      <c r="M219">
        <v>63</v>
      </c>
      <c r="N219" t="str">
        <v>Low Sales</v>
      </c>
      <c r="O219" t="str">
        <f t="shared" si="12"/>
        <v>Normal</v>
      </c>
    </row>
    <row r="220" spans="1:15" x14ac:dyDescent="0.3">
      <c r="A220" t="s">
        <v>435</v>
      </c>
      <c r="B220" t="s">
        <v>436</v>
      </c>
      <c r="C220" t="str">
        <v>May</v>
      </c>
      <c r="D220" t="s">
        <v>22</v>
      </c>
      <c r="E220" t="s">
        <v>17</v>
      </c>
      <c r="H220" t="s">
        <v>24</v>
      </c>
      <c r="I220">
        <f t="shared" si="10"/>
        <v>61</v>
      </c>
      <c r="J220" t="str">
        <f t="shared" si="11"/>
        <v>Accessories</v>
      </c>
      <c r="K220">
        <v>2</v>
      </c>
      <c r="L220">
        <v>591</v>
      </c>
      <c r="M220">
        <v>1182</v>
      </c>
      <c r="N220" t="str">
        <v>Low Sales</v>
      </c>
      <c r="O220" t="str">
        <f t="shared" si="12"/>
        <v>Normal</v>
      </c>
    </row>
    <row r="221" spans="1:15" x14ac:dyDescent="0.3">
      <c r="A221" t="s">
        <v>437</v>
      </c>
      <c r="B221" t="s">
        <v>438</v>
      </c>
      <c r="C221" t="str">
        <v>April</v>
      </c>
      <c r="D221" t="s">
        <v>22</v>
      </c>
      <c r="E221" t="s">
        <v>17</v>
      </c>
      <c r="H221" t="s">
        <v>33</v>
      </c>
      <c r="I221">
        <f t="shared" si="10"/>
        <v>43</v>
      </c>
      <c r="J221" t="str">
        <f t="shared" si="11"/>
        <v>Accessories</v>
      </c>
      <c r="K221">
        <v>8</v>
      </c>
      <c r="L221">
        <v>416</v>
      </c>
      <c r="M221">
        <v>3328</v>
      </c>
      <c r="N221" t="str">
        <v>High Sales</v>
      </c>
      <c r="O221" t="str">
        <f t="shared" si="12"/>
        <v>Top order</v>
      </c>
    </row>
    <row r="222" spans="1:15" x14ac:dyDescent="0.3">
      <c r="A222" t="s">
        <v>439</v>
      </c>
      <c r="B222" t="s">
        <v>303</v>
      </c>
      <c r="C222" t="str">
        <v>October</v>
      </c>
      <c r="D222" t="s">
        <v>36</v>
      </c>
      <c r="E222" t="s">
        <v>42</v>
      </c>
      <c r="H222" t="s">
        <v>18</v>
      </c>
      <c r="I222">
        <f t="shared" si="10"/>
        <v>55</v>
      </c>
      <c r="J222" t="str">
        <f t="shared" si="11"/>
        <v>Accessories</v>
      </c>
      <c r="K222">
        <v>5</v>
      </c>
      <c r="L222">
        <v>408</v>
      </c>
      <c r="M222">
        <v>2040</v>
      </c>
      <c r="N222" t="str">
        <v>Low Sales</v>
      </c>
      <c r="O222" t="str">
        <f t="shared" si="12"/>
        <v>Normal</v>
      </c>
    </row>
    <row r="223" spans="1:15" x14ac:dyDescent="0.3">
      <c r="A223" t="s">
        <v>440</v>
      </c>
      <c r="B223" t="s">
        <v>441</v>
      </c>
      <c r="C223" t="str">
        <v>June</v>
      </c>
      <c r="D223" t="s">
        <v>36</v>
      </c>
      <c r="E223" t="s">
        <v>12</v>
      </c>
      <c r="H223" t="s">
        <v>39</v>
      </c>
      <c r="I223">
        <f t="shared" si="10"/>
        <v>46</v>
      </c>
      <c r="J223" t="str">
        <f t="shared" si="11"/>
        <v>Electronics</v>
      </c>
      <c r="K223">
        <v>9</v>
      </c>
      <c r="L223">
        <v>724</v>
      </c>
      <c r="M223">
        <v>6516</v>
      </c>
      <c r="N223" t="str">
        <v>High Sales</v>
      </c>
      <c r="O223" t="str">
        <f t="shared" si="12"/>
        <v>Top order</v>
      </c>
    </row>
    <row r="224" spans="1:15" x14ac:dyDescent="0.3">
      <c r="A224" t="s">
        <v>442</v>
      </c>
      <c r="B224" t="s">
        <v>443</v>
      </c>
      <c r="C224" t="str">
        <v>February</v>
      </c>
      <c r="D224" t="s">
        <v>27</v>
      </c>
      <c r="E224" t="s">
        <v>12</v>
      </c>
      <c r="H224" t="s">
        <v>24</v>
      </c>
      <c r="I224">
        <f t="shared" si="10"/>
        <v>61</v>
      </c>
      <c r="J224" t="str">
        <f t="shared" si="11"/>
        <v>Accessories</v>
      </c>
      <c r="K224">
        <v>7</v>
      </c>
      <c r="L224">
        <v>181</v>
      </c>
      <c r="M224">
        <v>1267</v>
      </c>
      <c r="N224" t="str">
        <v>Low Sales</v>
      </c>
      <c r="O224" t="str">
        <f t="shared" si="12"/>
        <v>Normal</v>
      </c>
    </row>
    <row r="225" spans="1:15" x14ac:dyDescent="0.3">
      <c r="A225" t="s">
        <v>444</v>
      </c>
      <c r="B225" t="s">
        <v>445</v>
      </c>
      <c r="C225" t="str">
        <v>March</v>
      </c>
      <c r="D225" t="s">
        <v>36</v>
      </c>
      <c r="E225" t="s">
        <v>12</v>
      </c>
      <c r="H225" t="s">
        <v>24</v>
      </c>
      <c r="I225">
        <f t="shared" si="10"/>
        <v>61</v>
      </c>
      <c r="J225" t="str">
        <f t="shared" si="11"/>
        <v>Accessories</v>
      </c>
      <c r="K225">
        <v>4</v>
      </c>
      <c r="L225">
        <v>187</v>
      </c>
      <c r="M225">
        <v>748</v>
      </c>
      <c r="N225" t="str">
        <v>Low Sales</v>
      </c>
      <c r="O225" t="str">
        <f t="shared" si="12"/>
        <v>Normal</v>
      </c>
    </row>
    <row r="226" spans="1:15" x14ac:dyDescent="0.3">
      <c r="A226" t="s">
        <v>446</v>
      </c>
      <c r="B226" t="s">
        <v>369</v>
      </c>
      <c r="C226" t="str">
        <v>July</v>
      </c>
      <c r="D226" t="s">
        <v>22</v>
      </c>
      <c r="E226" t="s">
        <v>17</v>
      </c>
      <c r="H226" t="s">
        <v>18</v>
      </c>
      <c r="I226">
        <f t="shared" si="10"/>
        <v>55</v>
      </c>
      <c r="J226" t="str">
        <f t="shared" si="11"/>
        <v>Accessories</v>
      </c>
      <c r="K226">
        <v>8</v>
      </c>
      <c r="L226">
        <v>270</v>
      </c>
      <c r="M226">
        <v>2160</v>
      </c>
      <c r="N226" t="str">
        <v>Low Sales</v>
      </c>
      <c r="O226" t="str">
        <f t="shared" si="12"/>
        <v>Normal</v>
      </c>
    </row>
    <row r="227" spans="1:15" x14ac:dyDescent="0.3">
      <c r="A227" t="s">
        <v>447</v>
      </c>
      <c r="B227" t="s">
        <v>448</v>
      </c>
      <c r="C227" t="str">
        <v>August</v>
      </c>
      <c r="D227" t="s">
        <v>45</v>
      </c>
      <c r="E227" t="s">
        <v>42</v>
      </c>
      <c r="H227" t="s">
        <v>24</v>
      </c>
      <c r="I227">
        <f t="shared" si="10"/>
        <v>61</v>
      </c>
      <c r="J227" t="str">
        <f t="shared" si="11"/>
        <v>Accessories</v>
      </c>
      <c r="K227">
        <v>4</v>
      </c>
      <c r="L227">
        <v>423</v>
      </c>
      <c r="M227">
        <v>1692</v>
      </c>
      <c r="N227" t="str">
        <v>Low Sales</v>
      </c>
      <c r="O227" t="str">
        <f t="shared" si="12"/>
        <v>Normal</v>
      </c>
    </row>
    <row r="228" spans="1:15" x14ac:dyDescent="0.3">
      <c r="A228" t="s">
        <v>449</v>
      </c>
      <c r="B228" t="s">
        <v>450</v>
      </c>
      <c r="C228" t="str">
        <v>September</v>
      </c>
      <c r="D228" t="s">
        <v>22</v>
      </c>
      <c r="E228" t="s">
        <v>23</v>
      </c>
      <c r="H228" t="s">
        <v>33</v>
      </c>
      <c r="I228">
        <f t="shared" si="10"/>
        <v>43</v>
      </c>
      <c r="J228" t="str">
        <f t="shared" si="11"/>
        <v>Accessories</v>
      </c>
      <c r="K228">
        <v>5</v>
      </c>
      <c r="L228">
        <v>50</v>
      </c>
      <c r="M228">
        <v>250</v>
      </c>
      <c r="N228" t="str">
        <v>Low Sales</v>
      </c>
      <c r="O228" t="str">
        <f t="shared" si="12"/>
        <v>Normal</v>
      </c>
    </row>
    <row r="229" spans="1:15" x14ac:dyDescent="0.3">
      <c r="A229" t="s">
        <v>451</v>
      </c>
      <c r="B229" t="s">
        <v>452</v>
      </c>
      <c r="C229" t="str">
        <v>July</v>
      </c>
      <c r="D229" t="s">
        <v>22</v>
      </c>
      <c r="E229" t="s">
        <v>32</v>
      </c>
      <c r="H229" t="s">
        <v>18</v>
      </c>
      <c r="I229">
        <f t="shared" si="10"/>
        <v>55</v>
      </c>
      <c r="J229" t="str">
        <f t="shared" si="11"/>
        <v>Accessories</v>
      </c>
      <c r="K229">
        <v>7</v>
      </c>
      <c r="L229">
        <v>582</v>
      </c>
      <c r="M229">
        <v>4074</v>
      </c>
      <c r="N229" t="str">
        <v>High Sales</v>
      </c>
      <c r="O229" t="str">
        <f t="shared" si="12"/>
        <v>Top order</v>
      </c>
    </row>
    <row r="230" spans="1:15" x14ac:dyDescent="0.3">
      <c r="A230" t="s">
        <v>453</v>
      </c>
      <c r="B230" t="s">
        <v>454</v>
      </c>
      <c r="C230" t="str">
        <v>June</v>
      </c>
      <c r="D230" t="s">
        <v>36</v>
      </c>
      <c r="E230" t="s">
        <v>42</v>
      </c>
      <c r="H230" t="s">
        <v>13</v>
      </c>
      <c r="I230">
        <f t="shared" si="10"/>
        <v>56</v>
      </c>
      <c r="J230" t="str">
        <f t="shared" si="11"/>
        <v>Electronics</v>
      </c>
      <c r="K230">
        <v>8</v>
      </c>
      <c r="L230">
        <v>448</v>
      </c>
      <c r="M230">
        <v>3584</v>
      </c>
      <c r="N230" t="str">
        <v>High Sales</v>
      </c>
      <c r="O230" t="str">
        <f t="shared" si="12"/>
        <v>Top order</v>
      </c>
    </row>
    <row r="231" spans="1:15" x14ac:dyDescent="0.3">
      <c r="A231" t="s">
        <v>455</v>
      </c>
      <c r="B231" t="s">
        <v>456</v>
      </c>
      <c r="C231" t="str">
        <v>February</v>
      </c>
      <c r="D231" t="s">
        <v>36</v>
      </c>
      <c r="E231" t="s">
        <v>23</v>
      </c>
      <c r="H231" t="s">
        <v>18</v>
      </c>
      <c r="I231">
        <f t="shared" si="10"/>
        <v>55</v>
      </c>
      <c r="J231" t="str">
        <f t="shared" si="11"/>
        <v>Accessories</v>
      </c>
      <c r="K231">
        <v>10</v>
      </c>
      <c r="L231">
        <v>383</v>
      </c>
      <c r="M231">
        <v>3830</v>
      </c>
      <c r="N231" t="str">
        <v>High Sales</v>
      </c>
      <c r="O231" t="str">
        <f t="shared" si="12"/>
        <v>Top order</v>
      </c>
    </row>
    <row r="232" spans="1:15" x14ac:dyDescent="0.3">
      <c r="A232" t="s">
        <v>457</v>
      </c>
      <c r="B232" t="s">
        <v>458</v>
      </c>
      <c r="C232" t="str">
        <v>April</v>
      </c>
      <c r="D232" t="s">
        <v>11</v>
      </c>
      <c r="E232" t="s">
        <v>17</v>
      </c>
      <c r="H232" t="s">
        <v>13</v>
      </c>
      <c r="I232">
        <f t="shared" si="10"/>
        <v>56</v>
      </c>
      <c r="J232" t="str">
        <f t="shared" si="11"/>
        <v>Electronics</v>
      </c>
      <c r="K232">
        <v>2</v>
      </c>
      <c r="L232">
        <v>238</v>
      </c>
      <c r="M232">
        <v>476</v>
      </c>
      <c r="N232" t="str">
        <v>Low Sales</v>
      </c>
      <c r="O232" t="str">
        <f t="shared" si="12"/>
        <v>Normal</v>
      </c>
    </row>
    <row r="233" spans="1:15" x14ac:dyDescent="0.3">
      <c r="A233" t="s">
        <v>459</v>
      </c>
      <c r="B233" t="s">
        <v>251</v>
      </c>
      <c r="C233" t="str">
        <v>December</v>
      </c>
      <c r="D233" t="s">
        <v>22</v>
      </c>
      <c r="E233" t="s">
        <v>23</v>
      </c>
      <c r="H233" t="s">
        <v>13</v>
      </c>
      <c r="I233">
        <f t="shared" si="10"/>
        <v>56</v>
      </c>
      <c r="J233" t="str">
        <f t="shared" si="11"/>
        <v>Electronics</v>
      </c>
      <c r="K233">
        <v>8</v>
      </c>
      <c r="L233">
        <v>673</v>
      </c>
      <c r="M233">
        <v>5384</v>
      </c>
      <c r="N233" t="str">
        <v>High Sales</v>
      </c>
      <c r="O233" t="str">
        <f t="shared" si="12"/>
        <v>Top order</v>
      </c>
    </row>
    <row r="234" spans="1:15" x14ac:dyDescent="0.3">
      <c r="A234" t="s">
        <v>460</v>
      </c>
      <c r="B234" t="s">
        <v>401</v>
      </c>
      <c r="C234" t="str">
        <v>October</v>
      </c>
      <c r="D234" t="s">
        <v>36</v>
      </c>
      <c r="E234" t="s">
        <v>42</v>
      </c>
      <c r="H234" t="s">
        <v>74</v>
      </c>
      <c r="I234">
        <f t="shared" si="10"/>
        <v>39</v>
      </c>
      <c r="J234" t="str">
        <f t="shared" si="11"/>
        <v>Accessories</v>
      </c>
      <c r="K234">
        <v>1</v>
      </c>
      <c r="L234">
        <v>29</v>
      </c>
      <c r="M234">
        <v>29</v>
      </c>
      <c r="N234" t="str">
        <v>Low Sales</v>
      </c>
      <c r="O234" t="str">
        <f t="shared" si="12"/>
        <v>Normal</v>
      </c>
    </row>
    <row r="235" spans="1:15" x14ac:dyDescent="0.3">
      <c r="A235" t="s">
        <v>461</v>
      </c>
      <c r="B235" t="s">
        <v>212</v>
      </c>
      <c r="C235" t="str">
        <v>October</v>
      </c>
      <c r="D235" t="s">
        <v>27</v>
      </c>
      <c r="E235" t="s">
        <v>12</v>
      </c>
      <c r="H235" t="s">
        <v>39</v>
      </c>
      <c r="I235">
        <f t="shared" si="10"/>
        <v>46</v>
      </c>
      <c r="J235" t="str">
        <f t="shared" si="11"/>
        <v>Electronics</v>
      </c>
      <c r="K235">
        <v>10</v>
      </c>
      <c r="L235">
        <v>369</v>
      </c>
      <c r="M235">
        <v>3690</v>
      </c>
      <c r="N235" t="str">
        <v>High Sales</v>
      </c>
      <c r="O235" t="str">
        <f t="shared" si="12"/>
        <v>Top order</v>
      </c>
    </row>
    <row r="236" spans="1:15" x14ac:dyDescent="0.3">
      <c r="A236" t="s">
        <v>462</v>
      </c>
      <c r="B236" t="s">
        <v>463</v>
      </c>
      <c r="C236" t="str">
        <v>January</v>
      </c>
      <c r="D236" t="s">
        <v>22</v>
      </c>
      <c r="E236" t="s">
        <v>32</v>
      </c>
      <c r="H236" t="s">
        <v>24</v>
      </c>
      <c r="I236">
        <f t="shared" si="10"/>
        <v>61</v>
      </c>
      <c r="J236" t="str">
        <f t="shared" si="11"/>
        <v>Accessories</v>
      </c>
      <c r="K236">
        <v>7</v>
      </c>
      <c r="L236">
        <v>460</v>
      </c>
      <c r="M236">
        <v>3220</v>
      </c>
      <c r="N236" t="str">
        <v>High Sales</v>
      </c>
      <c r="O236" t="str">
        <f t="shared" si="12"/>
        <v>Top order</v>
      </c>
    </row>
    <row r="237" spans="1:15" x14ac:dyDescent="0.3">
      <c r="A237" t="s">
        <v>464</v>
      </c>
      <c r="B237" t="s">
        <v>465</v>
      </c>
      <c r="C237" t="str">
        <v>June</v>
      </c>
      <c r="D237" t="s">
        <v>11</v>
      </c>
      <c r="E237" t="s">
        <v>17</v>
      </c>
      <c r="H237" t="s">
        <v>74</v>
      </c>
      <c r="I237">
        <f t="shared" si="10"/>
        <v>39</v>
      </c>
      <c r="J237" t="str">
        <f t="shared" si="11"/>
        <v>Accessories</v>
      </c>
      <c r="K237">
        <v>3</v>
      </c>
      <c r="L237">
        <v>607</v>
      </c>
      <c r="M237">
        <v>1821</v>
      </c>
      <c r="N237" t="str">
        <v>Low Sales</v>
      </c>
      <c r="O237" t="str">
        <f t="shared" si="12"/>
        <v>Normal</v>
      </c>
    </row>
    <row r="238" spans="1:15" x14ac:dyDescent="0.3">
      <c r="A238" t="s">
        <v>466</v>
      </c>
      <c r="B238" t="s">
        <v>467</v>
      </c>
      <c r="C238" t="str">
        <v>April</v>
      </c>
      <c r="D238" t="s">
        <v>27</v>
      </c>
      <c r="E238" t="s">
        <v>23</v>
      </c>
      <c r="H238" t="s">
        <v>39</v>
      </c>
      <c r="I238">
        <f t="shared" si="10"/>
        <v>46</v>
      </c>
      <c r="J238" t="str">
        <f t="shared" si="11"/>
        <v>Electronics</v>
      </c>
      <c r="K238">
        <v>4</v>
      </c>
      <c r="L238">
        <v>193</v>
      </c>
      <c r="M238">
        <v>772</v>
      </c>
      <c r="N238" t="str">
        <v>Low Sales</v>
      </c>
      <c r="O238" t="str">
        <f t="shared" si="12"/>
        <v>Normal</v>
      </c>
    </row>
    <row r="239" spans="1:15" x14ac:dyDescent="0.3">
      <c r="A239" t="s">
        <v>468</v>
      </c>
      <c r="B239" t="s">
        <v>469</v>
      </c>
      <c r="C239" t="str">
        <v>August</v>
      </c>
      <c r="D239" t="s">
        <v>27</v>
      </c>
      <c r="E239" t="s">
        <v>32</v>
      </c>
      <c r="H239" t="s">
        <v>13</v>
      </c>
      <c r="I239">
        <f t="shared" si="10"/>
        <v>56</v>
      </c>
      <c r="J239" t="str">
        <f t="shared" si="11"/>
        <v>Electronics</v>
      </c>
      <c r="K239">
        <v>6</v>
      </c>
      <c r="L239">
        <v>360</v>
      </c>
      <c r="M239">
        <v>2160</v>
      </c>
      <c r="N239" t="str">
        <v>Low Sales</v>
      </c>
      <c r="O239" t="str">
        <f t="shared" si="12"/>
        <v>Normal</v>
      </c>
    </row>
    <row r="240" spans="1:15" x14ac:dyDescent="0.3">
      <c r="A240" t="s">
        <v>470</v>
      </c>
      <c r="B240" t="s">
        <v>471</v>
      </c>
      <c r="C240" t="str">
        <v>November</v>
      </c>
      <c r="D240" t="s">
        <v>22</v>
      </c>
      <c r="E240" t="s">
        <v>17</v>
      </c>
      <c r="H240" t="s">
        <v>74</v>
      </c>
      <c r="I240">
        <f t="shared" si="10"/>
        <v>39</v>
      </c>
      <c r="J240" t="str">
        <f t="shared" si="11"/>
        <v>Accessories</v>
      </c>
      <c r="K240">
        <v>2</v>
      </c>
      <c r="L240">
        <v>117</v>
      </c>
      <c r="M240">
        <v>234</v>
      </c>
      <c r="N240" t="str">
        <v>Low Sales</v>
      </c>
      <c r="O240" t="str">
        <f t="shared" si="12"/>
        <v>Normal</v>
      </c>
    </row>
    <row r="241" spans="1:15" x14ac:dyDescent="0.3">
      <c r="A241" t="s">
        <v>472</v>
      </c>
      <c r="B241" t="s">
        <v>473</v>
      </c>
      <c r="C241" t="str">
        <v>April</v>
      </c>
      <c r="D241" t="s">
        <v>45</v>
      </c>
      <c r="E241" t="s">
        <v>12</v>
      </c>
      <c r="H241" t="s">
        <v>39</v>
      </c>
      <c r="I241">
        <f t="shared" si="10"/>
        <v>46</v>
      </c>
      <c r="J241" t="str">
        <f t="shared" si="11"/>
        <v>Electronics</v>
      </c>
      <c r="K241">
        <v>8</v>
      </c>
      <c r="L241">
        <v>430</v>
      </c>
      <c r="M241">
        <v>3440</v>
      </c>
      <c r="N241" t="str">
        <v>High Sales</v>
      </c>
      <c r="O241" t="str">
        <f t="shared" si="12"/>
        <v>Top order</v>
      </c>
    </row>
    <row r="242" spans="1:15" x14ac:dyDescent="0.3">
      <c r="A242" t="s">
        <v>474</v>
      </c>
      <c r="B242" t="s">
        <v>475</v>
      </c>
      <c r="C242" t="str">
        <v>October</v>
      </c>
      <c r="D242" t="s">
        <v>45</v>
      </c>
      <c r="E242" t="s">
        <v>12</v>
      </c>
      <c r="H242" t="s">
        <v>24</v>
      </c>
      <c r="I242">
        <f t="shared" si="10"/>
        <v>61</v>
      </c>
      <c r="J242" t="str">
        <f t="shared" si="11"/>
        <v>Accessories</v>
      </c>
      <c r="K242">
        <v>9</v>
      </c>
      <c r="L242">
        <v>225</v>
      </c>
      <c r="M242">
        <v>2025</v>
      </c>
      <c r="N242" t="str">
        <v>Low Sales</v>
      </c>
      <c r="O242" t="str">
        <f t="shared" si="12"/>
        <v>Normal</v>
      </c>
    </row>
    <row r="243" spans="1:15" x14ac:dyDescent="0.3">
      <c r="A243" t="s">
        <v>476</v>
      </c>
      <c r="B243" t="s">
        <v>477</v>
      </c>
      <c r="C243" t="str">
        <v>January</v>
      </c>
      <c r="D243" t="s">
        <v>11</v>
      </c>
      <c r="E243" t="s">
        <v>12</v>
      </c>
      <c r="H243" t="s">
        <v>13</v>
      </c>
      <c r="I243">
        <f t="shared" si="10"/>
        <v>56</v>
      </c>
      <c r="J243" t="str">
        <f t="shared" si="11"/>
        <v>Electronics</v>
      </c>
      <c r="K243">
        <v>6</v>
      </c>
      <c r="L243">
        <v>375</v>
      </c>
      <c r="M243">
        <v>2250</v>
      </c>
      <c r="N243" t="str">
        <v>Low Sales</v>
      </c>
      <c r="O243" t="str">
        <f t="shared" si="12"/>
        <v>Normal</v>
      </c>
    </row>
    <row r="244" spans="1:15" x14ac:dyDescent="0.3">
      <c r="A244" t="s">
        <v>478</v>
      </c>
      <c r="B244" t="s">
        <v>479</v>
      </c>
      <c r="C244" t="str">
        <v>March</v>
      </c>
      <c r="D244" t="s">
        <v>36</v>
      </c>
      <c r="E244" t="s">
        <v>17</v>
      </c>
      <c r="H244" t="s">
        <v>24</v>
      </c>
      <c r="I244">
        <f t="shared" si="10"/>
        <v>61</v>
      </c>
      <c r="J244" t="str">
        <f t="shared" si="11"/>
        <v>Accessories</v>
      </c>
      <c r="K244">
        <v>1</v>
      </c>
      <c r="L244">
        <v>610</v>
      </c>
      <c r="M244">
        <v>610</v>
      </c>
      <c r="N244" t="str">
        <v>Low Sales</v>
      </c>
      <c r="O244" t="str">
        <f t="shared" si="12"/>
        <v>Normal</v>
      </c>
    </row>
    <row r="245" spans="1:15" x14ac:dyDescent="0.3">
      <c r="A245" t="s">
        <v>480</v>
      </c>
      <c r="B245" t="s">
        <v>481</v>
      </c>
      <c r="C245" t="str">
        <v>September</v>
      </c>
      <c r="D245" t="s">
        <v>45</v>
      </c>
      <c r="E245" t="s">
        <v>12</v>
      </c>
      <c r="H245" t="s">
        <v>13</v>
      </c>
      <c r="I245">
        <f t="shared" si="10"/>
        <v>56</v>
      </c>
      <c r="J245" t="str">
        <f t="shared" si="11"/>
        <v>Electronics</v>
      </c>
      <c r="K245">
        <v>8</v>
      </c>
      <c r="L245">
        <v>475</v>
      </c>
      <c r="M245">
        <v>3800</v>
      </c>
      <c r="N245" t="str">
        <v>High Sales</v>
      </c>
      <c r="O245" t="str">
        <f t="shared" si="12"/>
        <v>Top order</v>
      </c>
    </row>
    <row r="246" spans="1:15" x14ac:dyDescent="0.3">
      <c r="A246" t="s">
        <v>482</v>
      </c>
      <c r="B246" t="s">
        <v>483</v>
      </c>
      <c r="C246" t="str">
        <v>January</v>
      </c>
      <c r="D246" t="s">
        <v>45</v>
      </c>
      <c r="E246" t="s">
        <v>23</v>
      </c>
      <c r="H246" t="s">
        <v>33</v>
      </c>
      <c r="I246">
        <f t="shared" si="10"/>
        <v>43</v>
      </c>
      <c r="J246" t="str">
        <f t="shared" si="11"/>
        <v>Accessories</v>
      </c>
      <c r="K246">
        <v>4</v>
      </c>
      <c r="L246">
        <v>687</v>
      </c>
      <c r="M246">
        <v>2748</v>
      </c>
      <c r="N246" t="str">
        <v>Low Sales</v>
      </c>
      <c r="O246" t="str">
        <f t="shared" si="12"/>
        <v>Normal</v>
      </c>
    </row>
    <row r="247" spans="1:15" x14ac:dyDescent="0.3">
      <c r="A247" t="s">
        <v>484</v>
      </c>
      <c r="B247" t="s">
        <v>485</v>
      </c>
      <c r="C247" t="str">
        <v>September</v>
      </c>
      <c r="D247" t="s">
        <v>45</v>
      </c>
      <c r="E247" t="s">
        <v>32</v>
      </c>
      <c r="H247" t="s">
        <v>33</v>
      </c>
      <c r="I247">
        <f t="shared" si="10"/>
        <v>43</v>
      </c>
      <c r="J247" t="str">
        <f t="shared" si="11"/>
        <v>Accessories</v>
      </c>
      <c r="K247">
        <v>8</v>
      </c>
      <c r="L247">
        <v>143</v>
      </c>
      <c r="M247">
        <v>1144</v>
      </c>
      <c r="N247" t="str">
        <v>Low Sales</v>
      </c>
      <c r="O247" t="str">
        <f t="shared" si="12"/>
        <v>Normal</v>
      </c>
    </row>
    <row r="248" spans="1:15" x14ac:dyDescent="0.3">
      <c r="A248" t="s">
        <v>486</v>
      </c>
      <c r="B248" t="s">
        <v>487</v>
      </c>
      <c r="C248" t="str">
        <v>September</v>
      </c>
      <c r="D248" t="s">
        <v>27</v>
      </c>
      <c r="E248" t="s">
        <v>23</v>
      </c>
      <c r="H248" t="s">
        <v>18</v>
      </c>
      <c r="I248">
        <f t="shared" si="10"/>
        <v>55</v>
      </c>
      <c r="J248" t="str">
        <f t="shared" si="11"/>
        <v>Accessories</v>
      </c>
      <c r="K248">
        <v>7</v>
      </c>
      <c r="L248">
        <v>485</v>
      </c>
      <c r="M248">
        <v>3395</v>
      </c>
      <c r="N248" t="str">
        <v>High Sales</v>
      </c>
      <c r="O248" t="str">
        <f t="shared" si="12"/>
        <v>Top order</v>
      </c>
    </row>
    <row r="249" spans="1:15" x14ac:dyDescent="0.3">
      <c r="A249" t="s">
        <v>488</v>
      </c>
      <c r="B249" t="s">
        <v>489</v>
      </c>
      <c r="C249" t="str">
        <v>August</v>
      </c>
      <c r="D249" t="s">
        <v>27</v>
      </c>
      <c r="E249" t="s">
        <v>12</v>
      </c>
      <c r="H249" t="s">
        <v>74</v>
      </c>
      <c r="I249">
        <f t="shared" si="10"/>
        <v>39</v>
      </c>
      <c r="J249" t="str">
        <f t="shared" si="11"/>
        <v>Accessories</v>
      </c>
      <c r="K249">
        <v>3</v>
      </c>
      <c r="L249">
        <v>159</v>
      </c>
      <c r="M249">
        <v>477</v>
      </c>
      <c r="N249" t="str">
        <v>Low Sales</v>
      </c>
      <c r="O249" t="str">
        <f t="shared" si="12"/>
        <v>Normal</v>
      </c>
    </row>
    <row r="250" spans="1:15" x14ac:dyDescent="0.3">
      <c r="A250" t="s">
        <v>490</v>
      </c>
      <c r="B250" t="s">
        <v>491</v>
      </c>
      <c r="C250" t="str">
        <v>June</v>
      </c>
      <c r="D250" t="s">
        <v>22</v>
      </c>
      <c r="E250" t="s">
        <v>23</v>
      </c>
      <c r="H250" t="s">
        <v>24</v>
      </c>
      <c r="I250">
        <f t="shared" si="10"/>
        <v>61</v>
      </c>
      <c r="J250" t="str">
        <f t="shared" si="11"/>
        <v>Accessories</v>
      </c>
      <c r="K250">
        <v>10</v>
      </c>
      <c r="L250">
        <v>418</v>
      </c>
      <c r="M250">
        <v>4180</v>
      </c>
      <c r="N250" t="str">
        <v>High Sales</v>
      </c>
      <c r="O250" t="str">
        <f t="shared" si="12"/>
        <v>Top order</v>
      </c>
    </row>
    <row r="251" spans="1:15" x14ac:dyDescent="0.3">
      <c r="A251" t="s">
        <v>492</v>
      </c>
      <c r="B251" t="s">
        <v>493</v>
      </c>
      <c r="C251" t="str">
        <v>May</v>
      </c>
      <c r="D251" t="s">
        <v>45</v>
      </c>
      <c r="E251" t="s">
        <v>12</v>
      </c>
      <c r="H251" t="s">
        <v>13</v>
      </c>
      <c r="I251">
        <f t="shared" si="10"/>
        <v>56</v>
      </c>
      <c r="J251" t="str">
        <f t="shared" si="11"/>
        <v>Electronics</v>
      </c>
      <c r="K251">
        <v>6</v>
      </c>
      <c r="L251">
        <v>175</v>
      </c>
      <c r="M251">
        <v>1050</v>
      </c>
      <c r="N251" t="str">
        <v>Low Sales</v>
      </c>
      <c r="O251" t="str">
        <f t="shared" si="12"/>
        <v>Normal</v>
      </c>
    </row>
    <row r="252" spans="1:15" x14ac:dyDescent="0.3">
      <c r="A252" t="s">
        <v>494</v>
      </c>
      <c r="B252" t="s">
        <v>495</v>
      </c>
      <c r="C252" t="str">
        <v>March</v>
      </c>
      <c r="D252" t="s">
        <v>11</v>
      </c>
      <c r="E252" t="s">
        <v>23</v>
      </c>
      <c r="H252" t="s">
        <v>24</v>
      </c>
      <c r="I252">
        <f t="shared" si="10"/>
        <v>61</v>
      </c>
      <c r="J252" t="str">
        <f t="shared" si="11"/>
        <v>Accessories</v>
      </c>
      <c r="K252">
        <v>3</v>
      </c>
      <c r="L252">
        <v>300</v>
      </c>
      <c r="M252">
        <v>900</v>
      </c>
      <c r="N252" t="str">
        <v>Low Sales</v>
      </c>
      <c r="O252" t="str">
        <f t="shared" si="12"/>
        <v>Normal</v>
      </c>
    </row>
    <row r="253" spans="1:15" x14ac:dyDescent="0.3">
      <c r="A253" t="s">
        <v>496</v>
      </c>
      <c r="B253" t="s">
        <v>497</v>
      </c>
      <c r="C253" t="str">
        <v>May</v>
      </c>
      <c r="D253" t="s">
        <v>27</v>
      </c>
      <c r="E253" t="s">
        <v>58</v>
      </c>
      <c r="H253" t="s">
        <v>24</v>
      </c>
      <c r="I253">
        <f t="shared" si="10"/>
        <v>61</v>
      </c>
      <c r="J253" t="str">
        <f t="shared" si="11"/>
        <v>Accessories</v>
      </c>
      <c r="K253">
        <v>8</v>
      </c>
      <c r="L253">
        <v>329</v>
      </c>
      <c r="M253">
        <v>2632</v>
      </c>
      <c r="N253" t="str">
        <v>Low Sales</v>
      </c>
      <c r="O253" t="str">
        <f t="shared" si="12"/>
        <v>Normal</v>
      </c>
    </row>
    <row r="254" spans="1:15" x14ac:dyDescent="0.3">
      <c r="A254" t="s">
        <v>498</v>
      </c>
      <c r="B254" t="s">
        <v>499</v>
      </c>
      <c r="C254" t="str">
        <v>June</v>
      </c>
      <c r="D254" t="s">
        <v>27</v>
      </c>
      <c r="E254" t="s">
        <v>23</v>
      </c>
      <c r="H254" t="s">
        <v>33</v>
      </c>
      <c r="I254">
        <f t="shared" si="10"/>
        <v>43</v>
      </c>
      <c r="J254" t="str">
        <f t="shared" si="11"/>
        <v>Accessories</v>
      </c>
      <c r="K254">
        <v>1</v>
      </c>
      <c r="L254">
        <v>666</v>
      </c>
      <c r="M254">
        <v>666</v>
      </c>
      <c r="N254" t="str">
        <v>Low Sales</v>
      </c>
      <c r="O254" t="str">
        <f t="shared" si="12"/>
        <v>Normal</v>
      </c>
    </row>
    <row r="255" spans="1:15" x14ac:dyDescent="0.3">
      <c r="A255" t="s">
        <v>500</v>
      </c>
      <c r="B255" t="s">
        <v>501</v>
      </c>
      <c r="C255" t="str">
        <v>August</v>
      </c>
      <c r="D255" t="s">
        <v>45</v>
      </c>
      <c r="E255" t="s">
        <v>32</v>
      </c>
      <c r="H255" t="s">
        <v>74</v>
      </c>
      <c r="I255">
        <f t="shared" si="10"/>
        <v>39</v>
      </c>
      <c r="J255" t="str">
        <f t="shared" si="11"/>
        <v>Accessories</v>
      </c>
      <c r="K255">
        <v>1</v>
      </c>
      <c r="L255">
        <v>176</v>
      </c>
      <c r="M255">
        <v>176</v>
      </c>
      <c r="N255" t="str">
        <v>Low Sales</v>
      </c>
      <c r="O255" t="str">
        <f t="shared" si="12"/>
        <v>Normal</v>
      </c>
    </row>
    <row r="256" spans="1:15" x14ac:dyDescent="0.3">
      <c r="A256" t="s">
        <v>502</v>
      </c>
      <c r="B256" t="s">
        <v>403</v>
      </c>
      <c r="C256" t="str">
        <v>November</v>
      </c>
      <c r="D256" t="s">
        <v>45</v>
      </c>
      <c r="E256" t="s">
        <v>58</v>
      </c>
      <c r="H256" t="s">
        <v>74</v>
      </c>
      <c r="I256">
        <f t="shared" si="10"/>
        <v>39</v>
      </c>
      <c r="J256" t="str">
        <f t="shared" si="11"/>
        <v>Accessories</v>
      </c>
      <c r="K256">
        <v>5</v>
      </c>
      <c r="L256">
        <v>313</v>
      </c>
      <c r="M256">
        <v>1565</v>
      </c>
      <c r="N256" t="str">
        <v>Low Sales</v>
      </c>
      <c r="O256" t="str">
        <f t="shared" si="12"/>
        <v>Normal</v>
      </c>
    </row>
    <row r="257" spans="1:15" x14ac:dyDescent="0.3">
      <c r="A257" t="s">
        <v>503</v>
      </c>
      <c r="B257" t="s">
        <v>504</v>
      </c>
      <c r="C257" t="str">
        <v>September</v>
      </c>
      <c r="D257" t="s">
        <v>27</v>
      </c>
      <c r="E257" t="s">
        <v>17</v>
      </c>
      <c r="H257" t="s">
        <v>74</v>
      </c>
      <c r="I257">
        <f t="shared" si="10"/>
        <v>39</v>
      </c>
      <c r="J257" t="str">
        <f t="shared" si="11"/>
        <v>Accessories</v>
      </c>
      <c r="K257">
        <v>10</v>
      </c>
      <c r="L257">
        <v>579</v>
      </c>
      <c r="M257">
        <v>5790</v>
      </c>
      <c r="N257" t="str">
        <v>High Sales</v>
      </c>
      <c r="O257" t="str">
        <f t="shared" si="12"/>
        <v>Top order</v>
      </c>
    </row>
    <row r="258" spans="1:15" x14ac:dyDescent="0.3">
      <c r="A258" t="s">
        <v>505</v>
      </c>
      <c r="B258" t="s">
        <v>399</v>
      </c>
      <c r="C258" t="str">
        <v>March</v>
      </c>
      <c r="D258" t="s">
        <v>27</v>
      </c>
      <c r="E258" t="s">
        <v>32</v>
      </c>
      <c r="H258" t="s">
        <v>24</v>
      </c>
      <c r="I258">
        <f t="shared" si="10"/>
        <v>61</v>
      </c>
      <c r="J258" t="str">
        <f t="shared" si="11"/>
        <v>Accessories</v>
      </c>
      <c r="K258">
        <v>3</v>
      </c>
      <c r="L258">
        <v>640</v>
      </c>
      <c r="M258">
        <v>1920</v>
      </c>
      <c r="N258" t="str">
        <v>Low Sales</v>
      </c>
      <c r="O258" t="str">
        <f t="shared" si="12"/>
        <v>Normal</v>
      </c>
    </row>
    <row r="259" spans="1:15" x14ac:dyDescent="0.3">
      <c r="A259" t="s">
        <v>506</v>
      </c>
      <c r="B259" t="s">
        <v>507</v>
      </c>
      <c r="C259" t="str">
        <v>July</v>
      </c>
      <c r="D259" t="s">
        <v>11</v>
      </c>
      <c r="E259" t="s">
        <v>32</v>
      </c>
      <c r="H259" t="s">
        <v>18</v>
      </c>
      <c r="I259">
        <f t="shared" ref="I259:I301" si="13">COUNTIF($H$2:$H$301,H259)</f>
        <v>55</v>
      </c>
      <c r="J259" t="str">
        <f t="shared" ref="J259:J301" si="14">IF(OR(H259="Monitor",H259="Laptop"),"Electronics","Accessories")</f>
        <v>Accessories</v>
      </c>
      <c r="K259">
        <v>8</v>
      </c>
      <c r="L259">
        <v>521</v>
      </c>
      <c r="M259">
        <v>4168</v>
      </c>
      <c r="N259" t="str">
        <v>High Sales</v>
      </c>
      <c r="O259" t="str">
        <f t="shared" ref="O259:O301" si="15">IF(AND(M259&gt;3000,K259&gt;5),"Top order","Normal")</f>
        <v>Top order</v>
      </c>
    </row>
    <row r="260" spans="1:15" x14ac:dyDescent="0.3">
      <c r="A260" t="s">
        <v>508</v>
      </c>
      <c r="B260" t="s">
        <v>509</v>
      </c>
      <c r="C260" t="str">
        <v>May</v>
      </c>
      <c r="D260" t="s">
        <v>22</v>
      </c>
      <c r="E260" t="s">
        <v>23</v>
      </c>
      <c r="H260" t="s">
        <v>13</v>
      </c>
      <c r="I260">
        <f t="shared" si="13"/>
        <v>56</v>
      </c>
      <c r="J260" t="str">
        <f t="shared" si="14"/>
        <v>Electronics</v>
      </c>
      <c r="K260">
        <v>1</v>
      </c>
      <c r="L260">
        <v>623</v>
      </c>
      <c r="M260">
        <v>623</v>
      </c>
      <c r="N260" t="str">
        <v>Low Sales</v>
      </c>
      <c r="O260" t="str">
        <f t="shared" si="15"/>
        <v>Normal</v>
      </c>
    </row>
    <row r="261" spans="1:15" x14ac:dyDescent="0.3">
      <c r="A261" t="s">
        <v>510</v>
      </c>
      <c r="B261" t="s">
        <v>399</v>
      </c>
      <c r="C261" t="str">
        <v>March</v>
      </c>
      <c r="D261" t="s">
        <v>22</v>
      </c>
      <c r="E261" t="s">
        <v>12</v>
      </c>
      <c r="H261" t="s">
        <v>39</v>
      </c>
      <c r="I261">
        <f t="shared" si="13"/>
        <v>46</v>
      </c>
      <c r="J261" t="str">
        <f t="shared" si="14"/>
        <v>Electronics</v>
      </c>
      <c r="K261">
        <v>7</v>
      </c>
      <c r="L261">
        <v>56</v>
      </c>
      <c r="M261">
        <v>392</v>
      </c>
      <c r="N261" t="str">
        <v>Low Sales</v>
      </c>
      <c r="O261" t="str">
        <f t="shared" si="15"/>
        <v>Normal</v>
      </c>
    </row>
    <row r="262" spans="1:15" x14ac:dyDescent="0.3">
      <c r="A262" t="s">
        <v>511</v>
      </c>
      <c r="B262" t="s">
        <v>512</v>
      </c>
      <c r="C262" t="str">
        <v>November</v>
      </c>
      <c r="D262" t="s">
        <v>11</v>
      </c>
      <c r="E262" t="s">
        <v>17</v>
      </c>
      <c r="H262" t="s">
        <v>13</v>
      </c>
      <c r="I262">
        <f t="shared" si="13"/>
        <v>56</v>
      </c>
      <c r="J262" t="str">
        <f t="shared" si="14"/>
        <v>Electronics</v>
      </c>
      <c r="K262">
        <v>7</v>
      </c>
      <c r="L262">
        <v>303</v>
      </c>
      <c r="M262">
        <v>2121</v>
      </c>
      <c r="N262" t="str">
        <v>Low Sales</v>
      </c>
      <c r="O262" t="str">
        <f t="shared" si="15"/>
        <v>Normal</v>
      </c>
    </row>
    <row r="263" spans="1:15" x14ac:dyDescent="0.3">
      <c r="A263" t="s">
        <v>513</v>
      </c>
      <c r="B263" t="s">
        <v>164</v>
      </c>
      <c r="C263" t="str">
        <v>May</v>
      </c>
      <c r="D263" t="s">
        <v>45</v>
      </c>
      <c r="E263" t="s">
        <v>32</v>
      </c>
      <c r="H263" t="s">
        <v>24</v>
      </c>
      <c r="I263">
        <f t="shared" si="13"/>
        <v>61</v>
      </c>
      <c r="J263" t="str">
        <f t="shared" si="14"/>
        <v>Accessories</v>
      </c>
      <c r="K263">
        <v>10</v>
      </c>
      <c r="L263">
        <v>176</v>
      </c>
      <c r="M263">
        <v>1760</v>
      </c>
      <c r="N263" t="str">
        <v>Low Sales</v>
      </c>
      <c r="O263" t="str">
        <f t="shared" si="15"/>
        <v>Normal</v>
      </c>
    </row>
    <row r="264" spans="1:15" x14ac:dyDescent="0.3">
      <c r="A264" t="s">
        <v>514</v>
      </c>
      <c r="B264" t="s">
        <v>515</v>
      </c>
      <c r="C264" t="str">
        <v>September</v>
      </c>
      <c r="D264" t="s">
        <v>22</v>
      </c>
      <c r="E264" t="s">
        <v>42</v>
      </c>
      <c r="H264" t="s">
        <v>18</v>
      </c>
      <c r="I264">
        <f t="shared" si="13"/>
        <v>55</v>
      </c>
      <c r="J264" t="str">
        <f t="shared" si="14"/>
        <v>Accessories</v>
      </c>
      <c r="K264">
        <v>1</v>
      </c>
      <c r="L264">
        <v>52</v>
      </c>
      <c r="M264">
        <v>52</v>
      </c>
      <c r="N264" t="str">
        <v>Low Sales</v>
      </c>
      <c r="O264" t="str">
        <f t="shared" si="15"/>
        <v>Normal</v>
      </c>
    </row>
    <row r="265" spans="1:15" x14ac:dyDescent="0.3">
      <c r="A265" t="s">
        <v>516</v>
      </c>
      <c r="B265" t="s">
        <v>415</v>
      </c>
      <c r="C265" t="str">
        <v>August</v>
      </c>
      <c r="D265" t="s">
        <v>36</v>
      </c>
      <c r="E265" t="s">
        <v>17</v>
      </c>
      <c r="H265" t="s">
        <v>74</v>
      </c>
      <c r="I265">
        <f t="shared" si="13"/>
        <v>39</v>
      </c>
      <c r="J265" t="str">
        <f t="shared" si="14"/>
        <v>Accessories</v>
      </c>
      <c r="K265">
        <v>10</v>
      </c>
      <c r="L265">
        <v>290</v>
      </c>
      <c r="M265">
        <v>2900</v>
      </c>
      <c r="N265" t="str">
        <v>Low Sales</v>
      </c>
      <c r="O265" t="str">
        <f t="shared" si="15"/>
        <v>Normal</v>
      </c>
    </row>
    <row r="266" spans="1:15" x14ac:dyDescent="0.3">
      <c r="A266" t="s">
        <v>517</v>
      </c>
      <c r="B266" t="s">
        <v>518</v>
      </c>
      <c r="C266" t="str">
        <v>June</v>
      </c>
      <c r="D266" t="s">
        <v>36</v>
      </c>
      <c r="E266" t="s">
        <v>42</v>
      </c>
      <c r="H266" t="s">
        <v>24</v>
      </c>
      <c r="I266">
        <f t="shared" si="13"/>
        <v>61</v>
      </c>
      <c r="J266" t="str">
        <f t="shared" si="14"/>
        <v>Accessories</v>
      </c>
      <c r="K266">
        <v>7</v>
      </c>
      <c r="L266">
        <v>603</v>
      </c>
      <c r="M266">
        <v>4221</v>
      </c>
      <c r="N266" t="str">
        <v>High Sales</v>
      </c>
      <c r="O266" t="str">
        <f t="shared" si="15"/>
        <v>Top order</v>
      </c>
    </row>
    <row r="267" spans="1:15" x14ac:dyDescent="0.3">
      <c r="A267" t="s">
        <v>519</v>
      </c>
      <c r="B267" t="s">
        <v>520</v>
      </c>
      <c r="C267" t="str">
        <v>April</v>
      </c>
      <c r="D267" t="s">
        <v>36</v>
      </c>
      <c r="E267" t="s">
        <v>32</v>
      </c>
      <c r="H267" t="s">
        <v>33</v>
      </c>
      <c r="I267">
        <f t="shared" si="13"/>
        <v>43</v>
      </c>
      <c r="J267" t="str">
        <f t="shared" si="14"/>
        <v>Accessories</v>
      </c>
      <c r="K267">
        <v>1</v>
      </c>
      <c r="L267">
        <v>145</v>
      </c>
      <c r="M267">
        <v>145</v>
      </c>
      <c r="N267" t="str">
        <v>Low Sales</v>
      </c>
      <c r="O267" t="str">
        <f t="shared" si="15"/>
        <v>Normal</v>
      </c>
    </row>
    <row r="268" spans="1:15" x14ac:dyDescent="0.3">
      <c r="A268" t="s">
        <v>521</v>
      </c>
      <c r="B268" t="s">
        <v>522</v>
      </c>
      <c r="C268" t="str">
        <v>May</v>
      </c>
      <c r="D268" t="s">
        <v>22</v>
      </c>
      <c r="E268" t="s">
        <v>17</v>
      </c>
      <c r="H268" t="s">
        <v>18</v>
      </c>
      <c r="I268">
        <f t="shared" si="13"/>
        <v>55</v>
      </c>
      <c r="J268" t="str">
        <f t="shared" si="14"/>
        <v>Accessories</v>
      </c>
      <c r="K268">
        <v>10</v>
      </c>
      <c r="L268">
        <v>635</v>
      </c>
      <c r="M268">
        <v>6350</v>
      </c>
      <c r="N268" t="str">
        <v>High Sales</v>
      </c>
      <c r="O268" t="str">
        <f t="shared" si="15"/>
        <v>Top order</v>
      </c>
    </row>
    <row r="269" spans="1:15" x14ac:dyDescent="0.3">
      <c r="A269" t="s">
        <v>523</v>
      </c>
      <c r="B269" t="s">
        <v>524</v>
      </c>
      <c r="C269" t="str">
        <v>September</v>
      </c>
      <c r="D269" t="s">
        <v>22</v>
      </c>
      <c r="E269" t="s">
        <v>32</v>
      </c>
      <c r="H269" t="s">
        <v>33</v>
      </c>
      <c r="I269">
        <f t="shared" si="13"/>
        <v>43</v>
      </c>
      <c r="J269" t="str">
        <f t="shared" si="14"/>
        <v>Accessories</v>
      </c>
      <c r="K269">
        <v>1</v>
      </c>
      <c r="L269">
        <v>250</v>
      </c>
      <c r="M269">
        <v>250</v>
      </c>
      <c r="N269" t="str">
        <v>Low Sales</v>
      </c>
      <c r="O269" t="str">
        <f t="shared" si="15"/>
        <v>Normal</v>
      </c>
    </row>
    <row r="270" spans="1:15" x14ac:dyDescent="0.3">
      <c r="A270" t="s">
        <v>525</v>
      </c>
      <c r="B270" t="s">
        <v>526</v>
      </c>
      <c r="C270" t="str">
        <v>March</v>
      </c>
      <c r="D270" t="s">
        <v>27</v>
      </c>
      <c r="E270" t="s">
        <v>17</v>
      </c>
      <c r="H270" t="s">
        <v>13</v>
      </c>
      <c r="I270">
        <f t="shared" si="13"/>
        <v>56</v>
      </c>
      <c r="J270" t="str">
        <f t="shared" si="14"/>
        <v>Electronics</v>
      </c>
      <c r="K270">
        <v>1</v>
      </c>
      <c r="L270">
        <v>333</v>
      </c>
      <c r="M270">
        <v>333</v>
      </c>
      <c r="N270" t="str">
        <v>Low Sales</v>
      </c>
      <c r="O270" t="str">
        <f t="shared" si="15"/>
        <v>Normal</v>
      </c>
    </row>
    <row r="271" spans="1:15" x14ac:dyDescent="0.3">
      <c r="A271" t="s">
        <v>527</v>
      </c>
      <c r="B271" t="s">
        <v>528</v>
      </c>
      <c r="C271" t="str">
        <v>October</v>
      </c>
      <c r="D271" t="s">
        <v>45</v>
      </c>
      <c r="E271" t="s">
        <v>12</v>
      </c>
      <c r="H271" t="s">
        <v>33</v>
      </c>
      <c r="I271">
        <f t="shared" si="13"/>
        <v>43</v>
      </c>
      <c r="J271" t="str">
        <f t="shared" si="14"/>
        <v>Accessories</v>
      </c>
      <c r="K271">
        <v>6</v>
      </c>
      <c r="L271">
        <v>622</v>
      </c>
      <c r="M271">
        <v>3732</v>
      </c>
      <c r="N271" t="str">
        <v>High Sales</v>
      </c>
      <c r="O271" t="str">
        <f t="shared" si="15"/>
        <v>Top order</v>
      </c>
    </row>
    <row r="272" spans="1:15" x14ac:dyDescent="0.3">
      <c r="A272" t="s">
        <v>529</v>
      </c>
      <c r="B272" t="s">
        <v>526</v>
      </c>
      <c r="C272" t="str">
        <v>March</v>
      </c>
      <c r="D272" t="s">
        <v>22</v>
      </c>
      <c r="E272" t="s">
        <v>32</v>
      </c>
      <c r="H272" t="s">
        <v>18</v>
      </c>
      <c r="I272">
        <f t="shared" si="13"/>
        <v>55</v>
      </c>
      <c r="J272" t="str">
        <f t="shared" si="14"/>
        <v>Accessories</v>
      </c>
      <c r="K272">
        <v>5</v>
      </c>
      <c r="L272">
        <v>275</v>
      </c>
      <c r="M272">
        <v>1375</v>
      </c>
      <c r="N272" t="str">
        <v>Low Sales</v>
      </c>
      <c r="O272" t="str">
        <f t="shared" si="15"/>
        <v>Normal</v>
      </c>
    </row>
    <row r="273" spans="1:15" x14ac:dyDescent="0.3">
      <c r="A273" t="s">
        <v>530</v>
      </c>
      <c r="B273" t="s">
        <v>162</v>
      </c>
      <c r="C273" t="str">
        <v>July</v>
      </c>
      <c r="D273" t="s">
        <v>11</v>
      </c>
      <c r="E273" t="s">
        <v>12</v>
      </c>
      <c r="H273" t="s">
        <v>13</v>
      </c>
      <c r="I273">
        <f t="shared" si="13"/>
        <v>56</v>
      </c>
      <c r="J273" t="str">
        <f t="shared" si="14"/>
        <v>Electronics</v>
      </c>
      <c r="K273">
        <v>4</v>
      </c>
      <c r="L273">
        <v>800</v>
      </c>
      <c r="M273">
        <v>3200</v>
      </c>
      <c r="N273" t="str">
        <v>High Sales</v>
      </c>
      <c r="O273" t="str">
        <f t="shared" si="15"/>
        <v>Normal</v>
      </c>
    </row>
    <row r="274" spans="1:15" x14ac:dyDescent="0.3">
      <c r="A274" t="s">
        <v>531</v>
      </c>
      <c r="B274" t="s">
        <v>532</v>
      </c>
      <c r="C274" t="str">
        <v>September</v>
      </c>
      <c r="D274" t="s">
        <v>11</v>
      </c>
      <c r="E274" t="s">
        <v>58</v>
      </c>
      <c r="H274" t="s">
        <v>39</v>
      </c>
      <c r="I274">
        <f t="shared" si="13"/>
        <v>46</v>
      </c>
      <c r="J274" t="str">
        <f t="shared" si="14"/>
        <v>Electronics</v>
      </c>
      <c r="K274">
        <v>8</v>
      </c>
      <c r="L274">
        <v>604</v>
      </c>
      <c r="M274">
        <v>4832</v>
      </c>
      <c r="N274" t="str">
        <v>High Sales</v>
      </c>
      <c r="O274" t="str">
        <f t="shared" si="15"/>
        <v>Top order</v>
      </c>
    </row>
    <row r="275" spans="1:15" x14ac:dyDescent="0.3">
      <c r="A275" t="s">
        <v>533</v>
      </c>
      <c r="B275" t="s">
        <v>189</v>
      </c>
      <c r="C275" t="str">
        <v>August</v>
      </c>
      <c r="D275" t="s">
        <v>22</v>
      </c>
      <c r="E275" t="s">
        <v>32</v>
      </c>
      <c r="H275" t="s">
        <v>13</v>
      </c>
      <c r="I275">
        <f t="shared" si="13"/>
        <v>56</v>
      </c>
      <c r="J275" t="str">
        <f t="shared" si="14"/>
        <v>Electronics</v>
      </c>
      <c r="K275">
        <v>10</v>
      </c>
      <c r="L275">
        <v>364</v>
      </c>
      <c r="M275">
        <v>3640</v>
      </c>
      <c r="N275" t="str">
        <v>High Sales</v>
      </c>
      <c r="O275" t="str">
        <f t="shared" si="15"/>
        <v>Top order</v>
      </c>
    </row>
    <row r="276" spans="1:15" x14ac:dyDescent="0.3">
      <c r="A276" t="s">
        <v>534</v>
      </c>
      <c r="B276" t="s">
        <v>535</v>
      </c>
      <c r="C276" t="str">
        <v>February</v>
      </c>
      <c r="D276" t="s">
        <v>11</v>
      </c>
      <c r="E276" t="s">
        <v>12</v>
      </c>
      <c r="H276" t="s">
        <v>33</v>
      </c>
      <c r="I276">
        <f t="shared" si="13"/>
        <v>43</v>
      </c>
      <c r="J276" t="str">
        <f t="shared" si="14"/>
        <v>Accessories</v>
      </c>
      <c r="K276">
        <v>4</v>
      </c>
      <c r="L276">
        <v>551</v>
      </c>
      <c r="M276">
        <v>2204</v>
      </c>
      <c r="N276" t="str">
        <v>Low Sales</v>
      </c>
      <c r="O276" t="str">
        <f t="shared" si="15"/>
        <v>Normal</v>
      </c>
    </row>
    <row r="277" spans="1:15" x14ac:dyDescent="0.3">
      <c r="A277" t="s">
        <v>536</v>
      </c>
      <c r="B277" t="s">
        <v>443</v>
      </c>
      <c r="C277" t="str">
        <v>February</v>
      </c>
      <c r="D277" t="s">
        <v>27</v>
      </c>
      <c r="E277" t="s">
        <v>58</v>
      </c>
      <c r="H277" t="s">
        <v>39</v>
      </c>
      <c r="I277">
        <f t="shared" si="13"/>
        <v>46</v>
      </c>
      <c r="J277" t="str">
        <f t="shared" si="14"/>
        <v>Electronics</v>
      </c>
      <c r="K277">
        <v>6</v>
      </c>
      <c r="L277">
        <v>84</v>
      </c>
      <c r="M277">
        <v>504</v>
      </c>
      <c r="N277" t="str">
        <v>Low Sales</v>
      </c>
      <c r="O277" t="str">
        <f t="shared" si="15"/>
        <v>Normal</v>
      </c>
    </row>
    <row r="278" spans="1:15" x14ac:dyDescent="0.3">
      <c r="A278" t="s">
        <v>537</v>
      </c>
      <c r="B278" t="s">
        <v>115</v>
      </c>
      <c r="C278" t="str">
        <v>October</v>
      </c>
      <c r="D278" t="s">
        <v>45</v>
      </c>
      <c r="E278" t="s">
        <v>12</v>
      </c>
      <c r="H278" t="s">
        <v>33</v>
      </c>
      <c r="I278">
        <f t="shared" si="13"/>
        <v>43</v>
      </c>
      <c r="J278" t="str">
        <f t="shared" si="14"/>
        <v>Accessories</v>
      </c>
      <c r="K278">
        <v>8</v>
      </c>
      <c r="L278">
        <v>476</v>
      </c>
      <c r="M278">
        <v>3808</v>
      </c>
      <c r="N278" t="str">
        <v>High Sales</v>
      </c>
      <c r="O278" t="str">
        <f t="shared" si="15"/>
        <v>Top order</v>
      </c>
    </row>
    <row r="279" spans="1:15" x14ac:dyDescent="0.3">
      <c r="A279" t="s">
        <v>538</v>
      </c>
      <c r="B279" t="s">
        <v>539</v>
      </c>
      <c r="C279" t="str">
        <v>August</v>
      </c>
      <c r="D279" t="s">
        <v>45</v>
      </c>
      <c r="E279" t="s">
        <v>58</v>
      </c>
      <c r="H279" t="s">
        <v>18</v>
      </c>
      <c r="I279">
        <f t="shared" si="13"/>
        <v>55</v>
      </c>
      <c r="J279" t="str">
        <f t="shared" si="14"/>
        <v>Accessories</v>
      </c>
      <c r="K279">
        <v>4</v>
      </c>
      <c r="L279">
        <v>68</v>
      </c>
      <c r="M279">
        <v>272</v>
      </c>
      <c r="N279" t="str">
        <v>Low Sales</v>
      </c>
      <c r="O279" t="str">
        <f t="shared" si="15"/>
        <v>Normal</v>
      </c>
    </row>
    <row r="280" spans="1:15" x14ac:dyDescent="0.3">
      <c r="A280" t="s">
        <v>540</v>
      </c>
      <c r="B280" t="s">
        <v>541</v>
      </c>
      <c r="C280" t="str">
        <v>December</v>
      </c>
      <c r="D280" t="s">
        <v>27</v>
      </c>
      <c r="E280" t="s">
        <v>17</v>
      </c>
      <c r="H280" t="s">
        <v>13</v>
      </c>
      <c r="I280">
        <f t="shared" si="13"/>
        <v>56</v>
      </c>
      <c r="J280" t="str">
        <f t="shared" si="14"/>
        <v>Electronics</v>
      </c>
      <c r="K280">
        <v>2</v>
      </c>
      <c r="L280">
        <v>764</v>
      </c>
      <c r="M280">
        <v>1528</v>
      </c>
      <c r="N280" t="str">
        <v>Low Sales</v>
      </c>
      <c r="O280" t="str">
        <f t="shared" si="15"/>
        <v>Normal</v>
      </c>
    </row>
    <row r="281" spans="1:15" x14ac:dyDescent="0.3">
      <c r="A281" t="s">
        <v>542</v>
      </c>
      <c r="B281" t="s">
        <v>399</v>
      </c>
      <c r="C281" t="str">
        <v>March</v>
      </c>
      <c r="D281" t="s">
        <v>27</v>
      </c>
      <c r="E281" t="s">
        <v>58</v>
      </c>
      <c r="H281" t="s">
        <v>18</v>
      </c>
      <c r="I281">
        <f t="shared" si="13"/>
        <v>55</v>
      </c>
      <c r="J281" t="str">
        <f t="shared" si="14"/>
        <v>Accessories</v>
      </c>
      <c r="K281">
        <v>2</v>
      </c>
      <c r="L281">
        <v>84</v>
      </c>
      <c r="M281">
        <v>168</v>
      </c>
      <c r="N281" t="str">
        <v>Low Sales</v>
      </c>
      <c r="O281" t="str">
        <f t="shared" si="15"/>
        <v>Normal</v>
      </c>
    </row>
    <row r="282" spans="1:15" x14ac:dyDescent="0.3">
      <c r="A282" t="s">
        <v>543</v>
      </c>
      <c r="B282" t="s">
        <v>544</v>
      </c>
      <c r="C282" t="str">
        <v>July</v>
      </c>
      <c r="D282" t="s">
        <v>36</v>
      </c>
      <c r="E282" t="s">
        <v>58</v>
      </c>
      <c r="H282" t="s">
        <v>24</v>
      </c>
      <c r="I282">
        <f t="shared" si="13"/>
        <v>61</v>
      </c>
      <c r="J282" t="str">
        <f t="shared" si="14"/>
        <v>Accessories</v>
      </c>
      <c r="K282">
        <v>5</v>
      </c>
      <c r="L282">
        <v>430</v>
      </c>
      <c r="M282">
        <v>2150</v>
      </c>
      <c r="N282" t="str">
        <v>Low Sales</v>
      </c>
      <c r="O282" t="str">
        <f t="shared" si="15"/>
        <v>Normal</v>
      </c>
    </row>
    <row r="283" spans="1:15" x14ac:dyDescent="0.3">
      <c r="A283" t="s">
        <v>545</v>
      </c>
      <c r="B283" t="s">
        <v>454</v>
      </c>
      <c r="C283" t="str">
        <v>June</v>
      </c>
      <c r="D283" t="s">
        <v>36</v>
      </c>
      <c r="E283" t="s">
        <v>42</v>
      </c>
      <c r="H283" t="s">
        <v>24</v>
      </c>
      <c r="I283">
        <f t="shared" si="13"/>
        <v>61</v>
      </c>
      <c r="J283" t="str">
        <f t="shared" si="14"/>
        <v>Accessories</v>
      </c>
      <c r="K283">
        <v>9</v>
      </c>
      <c r="L283">
        <v>501</v>
      </c>
      <c r="M283">
        <v>4509</v>
      </c>
      <c r="N283" t="str">
        <v>High Sales</v>
      </c>
      <c r="O283" t="str">
        <f t="shared" si="15"/>
        <v>Top order</v>
      </c>
    </row>
    <row r="284" spans="1:15" x14ac:dyDescent="0.3">
      <c r="A284" t="s">
        <v>546</v>
      </c>
      <c r="B284" t="s">
        <v>131</v>
      </c>
      <c r="C284" t="str">
        <v>November</v>
      </c>
      <c r="D284" t="s">
        <v>45</v>
      </c>
      <c r="E284" t="s">
        <v>12</v>
      </c>
      <c r="H284" t="s">
        <v>13</v>
      </c>
      <c r="I284">
        <f t="shared" si="13"/>
        <v>56</v>
      </c>
      <c r="J284" t="str">
        <f t="shared" si="14"/>
        <v>Electronics</v>
      </c>
      <c r="K284">
        <v>7</v>
      </c>
      <c r="L284">
        <v>719</v>
      </c>
      <c r="M284">
        <v>5033</v>
      </c>
      <c r="N284" t="str">
        <v>High Sales</v>
      </c>
      <c r="O284" t="str">
        <f t="shared" si="15"/>
        <v>Top order</v>
      </c>
    </row>
    <row r="285" spans="1:15" x14ac:dyDescent="0.3">
      <c r="A285" t="s">
        <v>547</v>
      </c>
      <c r="B285" t="s">
        <v>86</v>
      </c>
      <c r="C285" t="str">
        <v>February</v>
      </c>
      <c r="D285" t="s">
        <v>45</v>
      </c>
      <c r="E285" t="s">
        <v>23</v>
      </c>
      <c r="H285" t="s">
        <v>74</v>
      </c>
      <c r="I285">
        <f t="shared" si="13"/>
        <v>39</v>
      </c>
      <c r="J285" t="str">
        <f t="shared" si="14"/>
        <v>Accessories</v>
      </c>
      <c r="K285">
        <v>4</v>
      </c>
      <c r="L285">
        <v>552</v>
      </c>
      <c r="M285">
        <v>2208</v>
      </c>
      <c r="N285" t="str">
        <v>Low Sales</v>
      </c>
      <c r="O285" t="str">
        <f t="shared" si="15"/>
        <v>Normal</v>
      </c>
    </row>
    <row r="286" spans="1:15" x14ac:dyDescent="0.3">
      <c r="A286" t="s">
        <v>548</v>
      </c>
      <c r="B286" t="s">
        <v>411</v>
      </c>
      <c r="C286" t="str">
        <v>December</v>
      </c>
      <c r="D286" t="s">
        <v>27</v>
      </c>
      <c r="E286" t="s">
        <v>58</v>
      </c>
      <c r="H286" t="s">
        <v>13</v>
      </c>
      <c r="I286">
        <f t="shared" si="13"/>
        <v>56</v>
      </c>
      <c r="J286" t="str">
        <f t="shared" si="14"/>
        <v>Electronics</v>
      </c>
      <c r="K286">
        <v>7</v>
      </c>
      <c r="L286">
        <v>174</v>
      </c>
      <c r="M286">
        <v>1218</v>
      </c>
      <c r="N286" t="str">
        <v>Low Sales</v>
      </c>
      <c r="O286" t="str">
        <f t="shared" si="15"/>
        <v>Normal</v>
      </c>
    </row>
    <row r="287" spans="1:15" x14ac:dyDescent="0.3">
      <c r="A287" t="s">
        <v>549</v>
      </c>
      <c r="B287" t="s">
        <v>467</v>
      </c>
      <c r="C287" t="str">
        <v>April</v>
      </c>
      <c r="D287" t="s">
        <v>11</v>
      </c>
      <c r="E287" t="s">
        <v>32</v>
      </c>
      <c r="H287" t="s">
        <v>24</v>
      </c>
      <c r="I287">
        <f t="shared" si="13"/>
        <v>61</v>
      </c>
      <c r="J287" t="str">
        <f t="shared" si="14"/>
        <v>Accessories</v>
      </c>
      <c r="K287">
        <v>8</v>
      </c>
      <c r="L287">
        <v>243</v>
      </c>
      <c r="M287">
        <v>1944</v>
      </c>
      <c r="N287" t="str">
        <v>Low Sales</v>
      </c>
      <c r="O287" t="str">
        <f t="shared" si="15"/>
        <v>Normal</v>
      </c>
    </row>
    <row r="288" spans="1:15" x14ac:dyDescent="0.3">
      <c r="A288" t="s">
        <v>550</v>
      </c>
      <c r="B288" t="s">
        <v>551</v>
      </c>
      <c r="C288" t="str">
        <v>March</v>
      </c>
      <c r="D288" t="s">
        <v>45</v>
      </c>
      <c r="E288" t="s">
        <v>12</v>
      </c>
      <c r="H288" t="s">
        <v>39</v>
      </c>
      <c r="I288">
        <f t="shared" si="13"/>
        <v>46</v>
      </c>
      <c r="J288" t="str">
        <f t="shared" si="14"/>
        <v>Electronics</v>
      </c>
      <c r="K288">
        <v>7</v>
      </c>
      <c r="L288">
        <v>101</v>
      </c>
      <c r="M288">
        <v>707</v>
      </c>
      <c r="N288" t="str">
        <v>Low Sales</v>
      </c>
      <c r="O288" t="str">
        <f t="shared" si="15"/>
        <v>Normal</v>
      </c>
    </row>
    <row r="289" spans="1:15" x14ac:dyDescent="0.3">
      <c r="A289" t="s">
        <v>552</v>
      </c>
      <c r="B289" t="s">
        <v>78</v>
      </c>
      <c r="C289" t="str">
        <v>August</v>
      </c>
      <c r="D289" t="s">
        <v>22</v>
      </c>
      <c r="E289" t="s">
        <v>17</v>
      </c>
      <c r="H289" t="s">
        <v>24</v>
      </c>
      <c r="I289">
        <f t="shared" si="13"/>
        <v>61</v>
      </c>
      <c r="J289" t="str">
        <f t="shared" si="14"/>
        <v>Accessories</v>
      </c>
      <c r="K289">
        <v>3</v>
      </c>
      <c r="L289">
        <v>127</v>
      </c>
      <c r="M289">
        <v>381</v>
      </c>
      <c r="N289" t="str">
        <v>Low Sales</v>
      </c>
      <c r="O289" t="str">
        <f t="shared" si="15"/>
        <v>Normal</v>
      </c>
    </row>
    <row r="290" spans="1:15" x14ac:dyDescent="0.3">
      <c r="A290" t="s">
        <v>553</v>
      </c>
      <c r="B290" t="s">
        <v>331</v>
      </c>
      <c r="C290" t="str">
        <v>July</v>
      </c>
      <c r="D290" t="s">
        <v>45</v>
      </c>
      <c r="E290" t="s">
        <v>58</v>
      </c>
      <c r="H290" t="s">
        <v>74</v>
      </c>
      <c r="I290">
        <f t="shared" si="13"/>
        <v>39</v>
      </c>
      <c r="J290" t="str">
        <f t="shared" si="14"/>
        <v>Accessories</v>
      </c>
      <c r="K290">
        <v>2</v>
      </c>
      <c r="L290">
        <v>701</v>
      </c>
      <c r="M290">
        <v>1402</v>
      </c>
      <c r="N290" t="str">
        <v>Low Sales</v>
      </c>
      <c r="O290" t="str">
        <f t="shared" si="15"/>
        <v>Normal</v>
      </c>
    </row>
    <row r="291" spans="1:15" x14ac:dyDescent="0.3">
      <c r="A291" t="s">
        <v>554</v>
      </c>
      <c r="B291" t="s">
        <v>555</v>
      </c>
      <c r="C291" t="str">
        <v>July</v>
      </c>
      <c r="D291" t="s">
        <v>36</v>
      </c>
      <c r="E291" t="s">
        <v>17</v>
      </c>
      <c r="H291" t="s">
        <v>39</v>
      </c>
      <c r="I291">
        <f t="shared" si="13"/>
        <v>46</v>
      </c>
      <c r="J291" t="str">
        <f t="shared" si="14"/>
        <v>Electronics</v>
      </c>
      <c r="K291">
        <v>6</v>
      </c>
      <c r="L291">
        <v>30</v>
      </c>
      <c r="M291">
        <v>180</v>
      </c>
      <c r="N291" t="str">
        <v>Low Sales</v>
      </c>
      <c r="O291" t="str">
        <f t="shared" si="15"/>
        <v>Normal</v>
      </c>
    </row>
    <row r="292" spans="1:15" x14ac:dyDescent="0.3">
      <c r="A292" t="s">
        <v>556</v>
      </c>
      <c r="B292" t="s">
        <v>544</v>
      </c>
      <c r="C292" t="str">
        <v>July</v>
      </c>
      <c r="D292" t="s">
        <v>22</v>
      </c>
      <c r="E292" t="s">
        <v>58</v>
      </c>
      <c r="H292" t="s">
        <v>24</v>
      </c>
      <c r="I292">
        <f t="shared" si="13"/>
        <v>61</v>
      </c>
      <c r="J292" t="str">
        <f t="shared" si="14"/>
        <v>Accessories</v>
      </c>
      <c r="K292">
        <v>3</v>
      </c>
      <c r="L292">
        <v>81</v>
      </c>
      <c r="M292">
        <v>243</v>
      </c>
      <c r="N292" t="str">
        <v>Low Sales</v>
      </c>
      <c r="O292" t="str">
        <f t="shared" si="15"/>
        <v>Normal</v>
      </c>
    </row>
    <row r="293" spans="1:15" x14ac:dyDescent="0.3">
      <c r="A293" t="s">
        <v>557</v>
      </c>
      <c r="B293" t="s">
        <v>119</v>
      </c>
      <c r="C293" t="str">
        <v>February</v>
      </c>
      <c r="D293" t="s">
        <v>11</v>
      </c>
      <c r="E293" t="s">
        <v>12</v>
      </c>
      <c r="H293" t="s">
        <v>39</v>
      </c>
      <c r="I293">
        <f t="shared" si="13"/>
        <v>46</v>
      </c>
      <c r="J293" t="str">
        <f t="shared" si="14"/>
        <v>Electronics</v>
      </c>
      <c r="K293">
        <v>6</v>
      </c>
      <c r="L293">
        <v>48</v>
      </c>
      <c r="M293">
        <v>288</v>
      </c>
      <c r="N293" t="str">
        <v>Low Sales</v>
      </c>
      <c r="O293" t="str">
        <f t="shared" si="15"/>
        <v>Normal</v>
      </c>
    </row>
    <row r="294" spans="1:15" x14ac:dyDescent="0.3">
      <c r="A294" t="s">
        <v>558</v>
      </c>
      <c r="B294" t="s">
        <v>559</v>
      </c>
      <c r="C294" t="str">
        <v>May</v>
      </c>
      <c r="D294" t="s">
        <v>45</v>
      </c>
      <c r="E294" t="s">
        <v>12</v>
      </c>
      <c r="H294" t="s">
        <v>39</v>
      </c>
      <c r="I294">
        <f t="shared" si="13"/>
        <v>46</v>
      </c>
      <c r="J294" t="str">
        <f t="shared" si="14"/>
        <v>Electronics</v>
      </c>
      <c r="K294">
        <v>4</v>
      </c>
      <c r="L294">
        <v>399</v>
      </c>
      <c r="M294">
        <v>1596</v>
      </c>
      <c r="N294" t="str">
        <v>Low Sales</v>
      </c>
      <c r="O294" t="str">
        <f t="shared" si="15"/>
        <v>Normal</v>
      </c>
    </row>
    <row r="295" spans="1:15" x14ac:dyDescent="0.3">
      <c r="A295" t="s">
        <v>560</v>
      </c>
      <c r="B295" t="s">
        <v>47</v>
      </c>
      <c r="C295" t="str">
        <v>June</v>
      </c>
      <c r="D295" t="s">
        <v>45</v>
      </c>
      <c r="E295" t="s">
        <v>58</v>
      </c>
      <c r="H295" t="s">
        <v>18</v>
      </c>
      <c r="I295">
        <f t="shared" si="13"/>
        <v>55</v>
      </c>
      <c r="J295" t="str">
        <f t="shared" si="14"/>
        <v>Accessories</v>
      </c>
      <c r="K295">
        <v>10</v>
      </c>
      <c r="L295">
        <v>810</v>
      </c>
      <c r="M295">
        <v>810</v>
      </c>
      <c r="N295" t="str">
        <v>Low Sales</v>
      </c>
      <c r="O295" t="str">
        <f t="shared" si="15"/>
        <v>Normal</v>
      </c>
    </row>
    <row r="296" spans="1:15" x14ac:dyDescent="0.3">
      <c r="A296" t="s">
        <v>561</v>
      </c>
      <c r="B296" t="s">
        <v>562</v>
      </c>
      <c r="C296" t="str">
        <v>March</v>
      </c>
      <c r="D296" t="s">
        <v>11</v>
      </c>
      <c r="E296" t="s">
        <v>17</v>
      </c>
      <c r="H296" t="s">
        <v>13</v>
      </c>
      <c r="I296">
        <f t="shared" si="13"/>
        <v>56</v>
      </c>
      <c r="J296" t="str">
        <f t="shared" si="14"/>
        <v>Electronics</v>
      </c>
      <c r="K296">
        <v>8</v>
      </c>
      <c r="L296">
        <v>552</v>
      </c>
      <c r="M296">
        <v>4416</v>
      </c>
      <c r="N296" t="str">
        <v>High Sales</v>
      </c>
      <c r="O296" t="str">
        <f t="shared" si="15"/>
        <v>Top order</v>
      </c>
    </row>
    <row r="297" spans="1:15" x14ac:dyDescent="0.3">
      <c r="A297" t="s">
        <v>563</v>
      </c>
      <c r="B297" t="s">
        <v>501</v>
      </c>
      <c r="C297" t="str">
        <v>August</v>
      </c>
      <c r="D297" t="s">
        <v>11</v>
      </c>
      <c r="E297" t="s">
        <v>12</v>
      </c>
      <c r="H297" t="s">
        <v>24</v>
      </c>
      <c r="I297">
        <f t="shared" si="13"/>
        <v>61</v>
      </c>
      <c r="J297" t="str">
        <f t="shared" si="14"/>
        <v>Accessories</v>
      </c>
      <c r="K297">
        <v>7</v>
      </c>
      <c r="L297">
        <v>51</v>
      </c>
      <c r="M297">
        <v>357</v>
      </c>
      <c r="N297" t="str">
        <v>Low Sales</v>
      </c>
      <c r="O297" t="str">
        <f t="shared" si="15"/>
        <v>Normal</v>
      </c>
    </row>
    <row r="298" spans="1:15" x14ac:dyDescent="0.3">
      <c r="A298" t="s">
        <v>564</v>
      </c>
      <c r="B298" t="s">
        <v>565</v>
      </c>
      <c r="C298" t="str">
        <v>April</v>
      </c>
      <c r="D298" t="s">
        <v>36</v>
      </c>
      <c r="E298" t="s">
        <v>42</v>
      </c>
      <c r="H298" t="s">
        <v>74</v>
      </c>
      <c r="I298">
        <f t="shared" si="13"/>
        <v>39</v>
      </c>
      <c r="J298" t="str">
        <f t="shared" si="14"/>
        <v>Accessories</v>
      </c>
      <c r="K298">
        <v>5</v>
      </c>
      <c r="L298">
        <v>125</v>
      </c>
      <c r="M298">
        <v>625</v>
      </c>
      <c r="N298" t="str">
        <v>Low Sales</v>
      </c>
      <c r="O298" t="str">
        <f t="shared" si="15"/>
        <v>Normal</v>
      </c>
    </row>
    <row r="299" spans="1:15" x14ac:dyDescent="0.3">
      <c r="A299" t="s">
        <v>566</v>
      </c>
      <c r="B299" t="s">
        <v>253</v>
      </c>
      <c r="C299" t="str">
        <v>September</v>
      </c>
      <c r="D299" t="s">
        <v>36</v>
      </c>
      <c r="E299" t="s">
        <v>17</v>
      </c>
      <c r="H299" t="s">
        <v>18</v>
      </c>
      <c r="I299">
        <f t="shared" si="13"/>
        <v>55</v>
      </c>
      <c r="J299" t="str">
        <f t="shared" si="14"/>
        <v>Accessories</v>
      </c>
      <c r="K299">
        <v>10</v>
      </c>
      <c r="L299">
        <v>229</v>
      </c>
      <c r="M299">
        <v>2290</v>
      </c>
      <c r="N299" t="str">
        <v>Low Sales</v>
      </c>
      <c r="O299" t="str">
        <f t="shared" si="15"/>
        <v>Normal</v>
      </c>
    </row>
    <row r="300" spans="1:15" x14ac:dyDescent="0.3">
      <c r="A300" t="s">
        <v>567</v>
      </c>
      <c r="B300" t="s">
        <v>568</v>
      </c>
      <c r="C300" t="str">
        <v>January</v>
      </c>
      <c r="D300" t="s">
        <v>27</v>
      </c>
      <c r="E300" t="s">
        <v>12</v>
      </c>
      <c r="H300" t="s">
        <v>24</v>
      </c>
      <c r="I300">
        <f t="shared" si="13"/>
        <v>61</v>
      </c>
      <c r="J300" t="str">
        <f t="shared" si="14"/>
        <v>Accessories</v>
      </c>
      <c r="K300">
        <v>9</v>
      </c>
      <c r="L300">
        <v>290</v>
      </c>
      <c r="M300">
        <v>2610</v>
      </c>
      <c r="N300" t="str">
        <v>Low Sales</v>
      </c>
      <c r="O300" t="str">
        <f t="shared" si="15"/>
        <v>Normal</v>
      </c>
    </row>
    <row r="301" spans="1:15" x14ac:dyDescent="0.3">
      <c r="A301" t="s">
        <v>569</v>
      </c>
      <c r="B301" t="s">
        <v>570</v>
      </c>
      <c r="C301" t="str">
        <v>May</v>
      </c>
      <c r="D301" t="s">
        <v>22</v>
      </c>
      <c r="E301" t="s">
        <v>32</v>
      </c>
      <c r="H301" t="s">
        <v>39</v>
      </c>
      <c r="I301">
        <f t="shared" si="13"/>
        <v>46</v>
      </c>
      <c r="J301" t="str">
        <f t="shared" si="14"/>
        <v>Electronics</v>
      </c>
      <c r="K301">
        <v>1</v>
      </c>
      <c r="L301">
        <v>372</v>
      </c>
      <c r="M301">
        <v>372</v>
      </c>
      <c r="N301" t="str">
        <v>Low Sales</v>
      </c>
      <c r="O301" t="str">
        <f t="shared" si="15"/>
        <v>Normal</v>
      </c>
    </row>
  </sheetData>
  <conditionalFormatting sqref="G2:G7">
    <cfRule type="top10" dxfId="8" priority="1" rank="2"/>
  </conditionalFormatting>
  <conditionalFormatting sqref="H2:I301">
    <cfRule type="top10" dxfId="7" priority="5" rank="10"/>
  </conditionalFormatting>
  <conditionalFormatting sqref="J2:J301">
    <cfRule type="containsText" dxfId="6" priority="3" operator="containsText" text="El">
      <formula>NOT(ISERROR(SEARCH("El",J2)))</formula>
    </cfRule>
  </conditionalFormatting>
  <conditionalFormatting sqref="L2:L301">
    <cfRule type="cellIs" dxfId="5" priority="8" operator="lessThan">
      <formula>200</formula>
    </cfRule>
    <cfRule type="expression" dxfId="4" priority="9">
      <formula>AND($L2&gt;300,$L2&lt;600)</formula>
    </cfRule>
    <cfRule type="cellIs" dxfId="3" priority="10" operator="greaterThan">
      <formula>600</formula>
    </cfRule>
  </conditionalFormatting>
  <conditionalFormatting sqref="M2:M301">
    <cfRule type="top10" dxfId="2" priority="2" rank="10"/>
  </conditionalFormatting>
  <conditionalFormatting sqref="N2:N301">
    <cfRule type="containsText" dxfId="1" priority="6" operator="containsText" text="High Sales">
      <formula>NOT(ISERROR(SEARCH("High Sales",N2)))</formula>
    </cfRule>
  </conditionalFormatting>
  <conditionalFormatting sqref="O2:O301">
    <cfRule type="containsText" dxfId="0" priority="4" operator="containsText" text="T">
      <formula>NOT(ISERROR(SEARCH("T",O2)))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101" workbookViewId="0">
      <selection activeCell="E9" sqref="E9"/>
    </sheetView>
  </sheetViews>
  <sheetFormatPr defaultRowHeight="14.4" x14ac:dyDescent="0.3"/>
  <cols>
    <col min="1" max="1" width="20" customWidth="1"/>
    <col min="2" max="2" width="21" customWidth="1"/>
    <col min="3" max="3" width="23.109375" customWidth="1"/>
    <col min="5" max="5" width="11.21875" customWidth="1"/>
  </cols>
  <sheetData>
    <row r="1" spans="1:7" x14ac:dyDescent="0.3">
      <c r="A1" s="1" t="s">
        <v>4</v>
      </c>
      <c r="B1" s="1" t="s">
        <v>5</v>
      </c>
      <c r="C1" s="1" t="s">
        <v>571</v>
      </c>
      <c r="D1" s="4"/>
      <c r="E1" s="3" t="s">
        <v>664</v>
      </c>
      <c r="F1" s="3"/>
      <c r="G1" s="4"/>
    </row>
    <row r="2" spans="1:7" x14ac:dyDescent="0.3">
      <c r="A2" t="s">
        <v>39</v>
      </c>
      <c r="B2" t="s">
        <v>14</v>
      </c>
      <c r="C2">
        <v>400</v>
      </c>
      <c r="D2" s="4"/>
      <c r="E2" s="4"/>
      <c r="F2" s="4"/>
      <c r="G2" s="4"/>
    </row>
    <row r="3" spans="1:7" x14ac:dyDescent="0.3">
      <c r="A3" t="s">
        <v>18</v>
      </c>
      <c r="B3" t="s">
        <v>19</v>
      </c>
      <c r="C3">
        <v>53</v>
      </c>
      <c r="D3" s="4"/>
      <c r="E3" s="4" t="str" cm="1">
        <f t="array" ref="E3:F3">VLOOKUP(A2,A1:C7,{2,3},FALSE)</f>
        <v>Electronics</v>
      </c>
      <c r="F3" s="4">
        <v>400</v>
      </c>
      <c r="G3" s="4"/>
    </row>
    <row r="4" spans="1:7" x14ac:dyDescent="0.3">
      <c r="A4" t="s">
        <v>74</v>
      </c>
      <c r="B4" t="s">
        <v>19</v>
      </c>
      <c r="C4">
        <v>419</v>
      </c>
    </row>
    <row r="5" spans="1:7" x14ac:dyDescent="0.3">
      <c r="A5" t="s">
        <v>13</v>
      </c>
      <c r="B5" t="s">
        <v>14</v>
      </c>
      <c r="C5">
        <v>276</v>
      </c>
      <c r="D5" s="4"/>
      <c r="E5" s="3" t="s">
        <v>662</v>
      </c>
      <c r="F5" s="3"/>
      <c r="G5" s="3"/>
    </row>
    <row r="6" spans="1:7" x14ac:dyDescent="0.3">
      <c r="A6" t="s">
        <v>24</v>
      </c>
      <c r="B6" t="s">
        <v>19</v>
      </c>
      <c r="C6">
        <v>283</v>
      </c>
      <c r="D6" s="4"/>
      <c r="E6" s="7">
        <f>AVERAGEIF(B1:B7,"Electronics",$C$1:$C$7)</f>
        <v>314.66666666666669</v>
      </c>
      <c r="F6" s="4"/>
      <c r="G6" s="4"/>
    </row>
    <row r="7" spans="1:7" x14ac:dyDescent="0.3">
      <c r="A7" t="s">
        <v>33</v>
      </c>
      <c r="B7" t="s">
        <v>14</v>
      </c>
      <c r="C7">
        <v>268</v>
      </c>
    </row>
    <row r="8" spans="1:7" x14ac:dyDescent="0.3">
      <c r="D8" s="4"/>
      <c r="E8" s="3" t="s">
        <v>663</v>
      </c>
      <c r="F8" s="4"/>
    </row>
    <row r="9" spans="1:7" x14ac:dyDescent="0.3">
      <c r="D9" s="4"/>
      <c r="E9" s="4">
        <f>COUNTIF(B1:B7,"Accessories")</f>
        <v>3</v>
      </c>
      <c r="F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selection activeCell="B3" sqref="B3"/>
    </sheetView>
  </sheetViews>
  <sheetFormatPr defaultRowHeight="14.4" x14ac:dyDescent="0.3"/>
  <cols>
    <col min="1" max="2" width="17.77734375" customWidth="1"/>
    <col min="3" max="3" width="18.6640625" customWidth="1"/>
    <col min="4" max="4" width="22.88671875" customWidth="1"/>
    <col min="5" max="5" width="16.77734375" customWidth="1"/>
    <col min="6" max="6" width="22.109375" customWidth="1"/>
    <col min="7" max="7" width="17.6640625" customWidth="1"/>
    <col min="9" max="9" width="18.6640625" customWidth="1"/>
  </cols>
  <sheetData>
    <row r="1" spans="1:13" x14ac:dyDescent="0.3">
      <c r="A1" s="6" t="s">
        <v>572</v>
      </c>
      <c r="B1" s="6"/>
      <c r="C1" s="6" t="s">
        <v>573</v>
      </c>
      <c r="D1" s="6" t="s">
        <v>5</v>
      </c>
      <c r="E1" s="6" t="s">
        <v>574</v>
      </c>
      <c r="F1" s="6" t="s">
        <v>575</v>
      </c>
      <c r="G1" s="8" t="s">
        <v>666</v>
      </c>
      <c r="I1" s="4"/>
      <c r="J1" s="4"/>
    </row>
    <row r="2" spans="1:13" x14ac:dyDescent="0.3">
      <c r="A2" t="s">
        <v>576</v>
      </c>
      <c r="B2" t="str" cm="1">
        <f t="array" ref="B2:B121">TEXT(A2:A121,"yyyy")</f>
        <v>2023</v>
      </c>
      <c r="C2" t="s">
        <v>577</v>
      </c>
      <c r="D2" t="s">
        <v>578</v>
      </c>
      <c r="E2">
        <v>19779</v>
      </c>
      <c r="F2" t="s">
        <v>579</v>
      </c>
      <c r="G2">
        <f>COUNTIF($F$2:$F$121,F2)</f>
        <v>34</v>
      </c>
      <c r="H2" cm="1">
        <f t="array" ref="H2:H4">_xlfn.UNIQUE(G2:G121)</f>
        <v>34</v>
      </c>
      <c r="I2" s="4" t="str" cm="1">
        <f t="array" ref="I2:I8">_xlfn.UNIQUE(D2:D121)</f>
        <v>Food</v>
      </c>
      <c r="J2" s="4">
        <f>SUMIF($D$2:$D$121,I2,E2:E121)</f>
        <v>160826</v>
      </c>
      <c r="L2" t="str" cm="1">
        <f t="array" ref="L2:L3">_xlfn.UNIQUE(C2:C121)</f>
        <v>Income</v>
      </c>
      <c r="M2">
        <f>SUMIF(L2:L3,L2,E2:E121)</f>
        <v>19779</v>
      </c>
    </row>
    <row r="3" spans="1:13" x14ac:dyDescent="0.3">
      <c r="A3" t="s">
        <v>181</v>
      </c>
      <c r="B3" t="str">
        <v>2023</v>
      </c>
      <c r="C3" t="s">
        <v>577</v>
      </c>
      <c r="D3" t="s">
        <v>580</v>
      </c>
      <c r="E3">
        <v>6129</v>
      </c>
      <c r="F3" t="s">
        <v>579</v>
      </c>
      <c r="G3">
        <f t="shared" ref="G3:G66" si="0">COUNTIF($F$2:$F$121,F3)</f>
        <v>34</v>
      </c>
      <c r="H3">
        <v>31</v>
      </c>
      <c r="I3" s="4" t="str">
        <v>Transport</v>
      </c>
      <c r="J3" s="4">
        <f t="shared" ref="J3:J8" si="1">SUMIF($D$2:$D$121,I3,E3:E122)</f>
        <v>89931</v>
      </c>
      <c r="L3" t="str">
        <v>Expense</v>
      </c>
      <c r="M3">
        <f>SUMIF(L3:L4,L3,E3:E122)</f>
        <v>6129</v>
      </c>
    </row>
    <row r="4" spans="1:13" x14ac:dyDescent="0.3">
      <c r="A4" t="s">
        <v>581</v>
      </c>
      <c r="B4" t="str">
        <v>2023</v>
      </c>
      <c r="C4" t="s">
        <v>582</v>
      </c>
      <c r="D4" t="s">
        <v>583</v>
      </c>
      <c r="E4">
        <v>167</v>
      </c>
      <c r="F4" t="s">
        <v>584</v>
      </c>
      <c r="G4">
        <f t="shared" si="0"/>
        <v>31</v>
      </c>
      <c r="H4">
        <v>24</v>
      </c>
      <c r="I4" s="4" t="str">
        <v>Salary</v>
      </c>
      <c r="J4" s="4">
        <f t="shared" si="1"/>
        <v>51907</v>
      </c>
      <c r="M4">
        <f>M2-M3</f>
        <v>13650</v>
      </c>
    </row>
    <row r="5" spans="1:13" x14ac:dyDescent="0.3">
      <c r="A5" t="s">
        <v>585</v>
      </c>
      <c r="B5" t="str">
        <v>2023</v>
      </c>
      <c r="C5" t="s">
        <v>582</v>
      </c>
      <c r="D5" t="s">
        <v>586</v>
      </c>
      <c r="E5">
        <v>2247</v>
      </c>
      <c r="F5" t="s">
        <v>587</v>
      </c>
      <c r="G5">
        <f t="shared" si="0"/>
        <v>31</v>
      </c>
      <c r="I5" s="4" t="str">
        <v>Savings</v>
      </c>
      <c r="J5" s="4">
        <f t="shared" si="1"/>
        <v>161196</v>
      </c>
    </row>
    <row r="6" spans="1:13" x14ac:dyDescent="0.3">
      <c r="A6" t="s">
        <v>588</v>
      </c>
      <c r="B6" t="str">
        <v>2023</v>
      </c>
      <c r="C6" t="s">
        <v>582</v>
      </c>
      <c r="D6" t="s">
        <v>578</v>
      </c>
      <c r="E6">
        <v>2012</v>
      </c>
      <c r="F6" t="s">
        <v>589</v>
      </c>
      <c r="G6">
        <f t="shared" si="0"/>
        <v>24</v>
      </c>
      <c r="I6" s="4" t="str">
        <v>Freelance</v>
      </c>
      <c r="J6" s="4">
        <f t="shared" si="1"/>
        <v>46236</v>
      </c>
      <c r="M6" s="9"/>
    </row>
    <row r="7" spans="1:13" x14ac:dyDescent="0.3">
      <c r="A7" t="s">
        <v>363</v>
      </c>
      <c r="B7" t="str">
        <v>2023</v>
      </c>
      <c r="C7" t="s">
        <v>582</v>
      </c>
      <c r="D7" t="s">
        <v>583</v>
      </c>
      <c r="E7">
        <v>1457</v>
      </c>
      <c r="F7" t="s">
        <v>579</v>
      </c>
      <c r="G7">
        <f t="shared" si="0"/>
        <v>34</v>
      </c>
      <c r="I7" s="4" t="str">
        <v>Bills</v>
      </c>
      <c r="J7" s="4">
        <f t="shared" si="1"/>
        <v>95455</v>
      </c>
    </row>
    <row r="8" spans="1:13" x14ac:dyDescent="0.3">
      <c r="A8" t="s">
        <v>177</v>
      </c>
      <c r="B8" t="str">
        <v>2023</v>
      </c>
      <c r="C8" t="s">
        <v>577</v>
      </c>
      <c r="D8" t="s">
        <v>586</v>
      </c>
      <c r="E8">
        <v>18041</v>
      </c>
      <c r="F8" t="s">
        <v>579</v>
      </c>
      <c r="G8">
        <f t="shared" si="0"/>
        <v>34</v>
      </c>
      <c r="I8" s="4" t="str">
        <v>Shopping</v>
      </c>
      <c r="J8" s="4">
        <f t="shared" si="1"/>
        <v>66826</v>
      </c>
    </row>
    <row r="9" spans="1:13" x14ac:dyDescent="0.3">
      <c r="A9" t="s">
        <v>324</v>
      </c>
      <c r="B9" t="str">
        <v>2023</v>
      </c>
      <c r="C9" t="s">
        <v>577</v>
      </c>
      <c r="D9" t="s">
        <v>583</v>
      </c>
      <c r="E9">
        <v>2578</v>
      </c>
      <c r="F9" t="s">
        <v>589</v>
      </c>
      <c r="G9">
        <f t="shared" si="0"/>
        <v>24</v>
      </c>
    </row>
    <row r="10" spans="1:13" x14ac:dyDescent="0.3">
      <c r="A10" t="s">
        <v>375</v>
      </c>
      <c r="B10" t="str">
        <v>2023</v>
      </c>
      <c r="C10" t="s">
        <v>582</v>
      </c>
      <c r="D10" t="s">
        <v>590</v>
      </c>
      <c r="E10">
        <v>2175</v>
      </c>
      <c r="F10" t="s">
        <v>579</v>
      </c>
      <c r="G10">
        <f t="shared" si="0"/>
        <v>34</v>
      </c>
    </row>
    <row r="11" spans="1:13" x14ac:dyDescent="0.3">
      <c r="A11" t="s">
        <v>591</v>
      </c>
      <c r="B11" t="str">
        <v>2023</v>
      </c>
      <c r="C11" t="s">
        <v>582</v>
      </c>
      <c r="D11" t="s">
        <v>586</v>
      </c>
      <c r="E11">
        <v>1426</v>
      </c>
      <c r="F11" t="s">
        <v>584</v>
      </c>
      <c r="G11">
        <f t="shared" si="0"/>
        <v>31</v>
      </c>
    </row>
    <row r="12" spans="1:13" x14ac:dyDescent="0.3">
      <c r="A12" t="s">
        <v>592</v>
      </c>
      <c r="B12" t="str">
        <v>2023</v>
      </c>
      <c r="C12" t="s">
        <v>582</v>
      </c>
      <c r="D12" t="s">
        <v>578</v>
      </c>
      <c r="E12">
        <v>2286</v>
      </c>
      <c r="F12" t="s">
        <v>584</v>
      </c>
      <c r="G12">
        <f t="shared" si="0"/>
        <v>31</v>
      </c>
    </row>
    <row r="13" spans="1:13" x14ac:dyDescent="0.3">
      <c r="A13" t="s">
        <v>509</v>
      </c>
      <c r="B13" t="str">
        <v>2023</v>
      </c>
      <c r="C13" t="s">
        <v>582</v>
      </c>
      <c r="D13" t="s">
        <v>583</v>
      </c>
      <c r="E13">
        <v>3029</v>
      </c>
      <c r="F13" t="s">
        <v>579</v>
      </c>
      <c r="G13">
        <f t="shared" si="0"/>
        <v>34</v>
      </c>
    </row>
    <row r="14" spans="1:13" x14ac:dyDescent="0.3">
      <c r="A14" t="s">
        <v>593</v>
      </c>
      <c r="B14" t="str">
        <v>2023</v>
      </c>
      <c r="C14" t="s">
        <v>577</v>
      </c>
      <c r="D14" t="s">
        <v>590</v>
      </c>
      <c r="E14">
        <v>8020</v>
      </c>
      <c r="F14" t="s">
        <v>587</v>
      </c>
      <c r="G14">
        <f t="shared" si="0"/>
        <v>31</v>
      </c>
    </row>
    <row r="15" spans="1:13" x14ac:dyDescent="0.3">
      <c r="A15" t="s">
        <v>594</v>
      </c>
      <c r="B15" t="str">
        <v>2023</v>
      </c>
      <c r="C15" t="s">
        <v>582</v>
      </c>
      <c r="D15" t="s">
        <v>595</v>
      </c>
      <c r="E15">
        <v>322</v>
      </c>
      <c r="F15" t="s">
        <v>579</v>
      </c>
      <c r="G15">
        <f t="shared" si="0"/>
        <v>34</v>
      </c>
    </row>
    <row r="16" spans="1:13" x14ac:dyDescent="0.3">
      <c r="A16" t="s">
        <v>596</v>
      </c>
      <c r="B16" t="str">
        <v>2023</v>
      </c>
      <c r="C16" t="s">
        <v>577</v>
      </c>
      <c r="D16" t="s">
        <v>586</v>
      </c>
      <c r="E16">
        <v>15993</v>
      </c>
      <c r="F16" t="s">
        <v>589</v>
      </c>
      <c r="G16">
        <f t="shared" si="0"/>
        <v>24</v>
      </c>
    </row>
    <row r="17" spans="1:7" x14ac:dyDescent="0.3">
      <c r="A17" t="s">
        <v>407</v>
      </c>
      <c r="B17" t="str">
        <v>2023</v>
      </c>
      <c r="C17" t="s">
        <v>577</v>
      </c>
      <c r="D17" t="s">
        <v>597</v>
      </c>
      <c r="E17">
        <v>7059</v>
      </c>
      <c r="F17" t="s">
        <v>589</v>
      </c>
      <c r="G17">
        <f t="shared" si="0"/>
        <v>24</v>
      </c>
    </row>
    <row r="18" spans="1:7" x14ac:dyDescent="0.3">
      <c r="A18" t="s">
        <v>278</v>
      </c>
      <c r="B18" t="str">
        <v>2023</v>
      </c>
      <c r="C18" t="s">
        <v>582</v>
      </c>
      <c r="D18" t="s">
        <v>595</v>
      </c>
      <c r="E18">
        <v>2474</v>
      </c>
      <c r="F18" t="s">
        <v>579</v>
      </c>
      <c r="G18">
        <f t="shared" si="0"/>
        <v>34</v>
      </c>
    </row>
    <row r="19" spans="1:7" x14ac:dyDescent="0.3">
      <c r="A19" t="s">
        <v>598</v>
      </c>
      <c r="B19" t="str">
        <v>2023</v>
      </c>
      <c r="C19" t="s">
        <v>582</v>
      </c>
      <c r="D19" t="s">
        <v>580</v>
      </c>
      <c r="E19">
        <v>620</v>
      </c>
      <c r="F19" t="s">
        <v>589</v>
      </c>
      <c r="G19">
        <f t="shared" si="0"/>
        <v>24</v>
      </c>
    </row>
    <row r="20" spans="1:7" x14ac:dyDescent="0.3">
      <c r="A20" t="s">
        <v>495</v>
      </c>
      <c r="B20" t="str">
        <v>2023</v>
      </c>
      <c r="C20" t="s">
        <v>577</v>
      </c>
      <c r="D20" t="s">
        <v>580</v>
      </c>
      <c r="E20">
        <v>15047</v>
      </c>
      <c r="F20" t="s">
        <v>579</v>
      </c>
      <c r="G20">
        <f t="shared" si="0"/>
        <v>34</v>
      </c>
    </row>
    <row r="21" spans="1:7" x14ac:dyDescent="0.3">
      <c r="A21" t="s">
        <v>599</v>
      </c>
      <c r="B21" t="str">
        <v>2023</v>
      </c>
      <c r="C21" t="s">
        <v>582</v>
      </c>
      <c r="D21" t="s">
        <v>586</v>
      </c>
      <c r="E21">
        <v>1505</v>
      </c>
      <c r="F21" t="s">
        <v>584</v>
      </c>
      <c r="G21">
        <f t="shared" si="0"/>
        <v>31</v>
      </c>
    </row>
    <row r="22" spans="1:7" x14ac:dyDescent="0.3">
      <c r="A22" t="s">
        <v>600</v>
      </c>
      <c r="B22" t="str">
        <v>2023</v>
      </c>
      <c r="C22" t="s">
        <v>577</v>
      </c>
      <c r="D22" t="s">
        <v>590</v>
      </c>
      <c r="E22">
        <v>14543</v>
      </c>
      <c r="F22" t="s">
        <v>589</v>
      </c>
      <c r="G22">
        <f t="shared" si="0"/>
        <v>24</v>
      </c>
    </row>
    <row r="23" spans="1:7" x14ac:dyDescent="0.3">
      <c r="A23" t="s">
        <v>601</v>
      </c>
      <c r="B23" t="str">
        <v>2023</v>
      </c>
      <c r="C23" t="s">
        <v>582</v>
      </c>
      <c r="D23" t="s">
        <v>597</v>
      </c>
      <c r="E23">
        <v>3599</v>
      </c>
      <c r="F23" t="s">
        <v>587</v>
      </c>
      <c r="G23">
        <f t="shared" si="0"/>
        <v>31</v>
      </c>
    </row>
    <row r="24" spans="1:7" x14ac:dyDescent="0.3">
      <c r="A24" t="s">
        <v>602</v>
      </c>
      <c r="B24" t="str">
        <v>2023</v>
      </c>
      <c r="C24" t="s">
        <v>577</v>
      </c>
      <c r="D24" t="s">
        <v>586</v>
      </c>
      <c r="E24">
        <v>19852</v>
      </c>
      <c r="F24" t="s">
        <v>587</v>
      </c>
      <c r="G24">
        <f t="shared" si="0"/>
        <v>31</v>
      </c>
    </row>
    <row r="25" spans="1:7" x14ac:dyDescent="0.3">
      <c r="A25" t="s">
        <v>129</v>
      </c>
      <c r="B25" t="str">
        <v>2023</v>
      </c>
      <c r="C25" t="s">
        <v>582</v>
      </c>
      <c r="D25" t="s">
        <v>595</v>
      </c>
      <c r="E25">
        <v>261</v>
      </c>
      <c r="F25" t="s">
        <v>584</v>
      </c>
      <c r="G25">
        <f t="shared" si="0"/>
        <v>31</v>
      </c>
    </row>
    <row r="26" spans="1:7" x14ac:dyDescent="0.3">
      <c r="A26" t="s">
        <v>603</v>
      </c>
      <c r="B26" t="str">
        <v>2023</v>
      </c>
      <c r="C26" t="s">
        <v>577</v>
      </c>
      <c r="D26" t="s">
        <v>580</v>
      </c>
      <c r="E26">
        <v>13613</v>
      </c>
      <c r="F26" t="s">
        <v>584</v>
      </c>
      <c r="G26">
        <f t="shared" si="0"/>
        <v>31</v>
      </c>
    </row>
    <row r="27" spans="1:7" x14ac:dyDescent="0.3">
      <c r="A27" t="s">
        <v>604</v>
      </c>
      <c r="B27" t="str">
        <v>2023</v>
      </c>
      <c r="C27" t="s">
        <v>577</v>
      </c>
      <c r="D27" t="s">
        <v>597</v>
      </c>
      <c r="E27">
        <v>13692</v>
      </c>
      <c r="F27" t="s">
        <v>587</v>
      </c>
      <c r="G27">
        <f t="shared" si="0"/>
        <v>31</v>
      </c>
    </row>
    <row r="28" spans="1:7" x14ac:dyDescent="0.3">
      <c r="A28" t="s">
        <v>214</v>
      </c>
      <c r="B28" t="str">
        <v>2023</v>
      </c>
      <c r="C28" t="s">
        <v>577</v>
      </c>
      <c r="D28" t="s">
        <v>597</v>
      </c>
      <c r="E28">
        <v>9078</v>
      </c>
      <c r="F28" t="s">
        <v>584</v>
      </c>
      <c r="G28">
        <f t="shared" si="0"/>
        <v>31</v>
      </c>
    </row>
    <row r="29" spans="1:7" x14ac:dyDescent="0.3">
      <c r="A29" t="s">
        <v>539</v>
      </c>
      <c r="B29" t="str">
        <v>2023</v>
      </c>
      <c r="C29" t="s">
        <v>577</v>
      </c>
      <c r="D29" t="s">
        <v>595</v>
      </c>
      <c r="E29">
        <v>18593</v>
      </c>
      <c r="F29" t="s">
        <v>589</v>
      </c>
      <c r="G29">
        <f t="shared" si="0"/>
        <v>24</v>
      </c>
    </row>
    <row r="30" spans="1:7" x14ac:dyDescent="0.3">
      <c r="A30" t="s">
        <v>605</v>
      </c>
      <c r="B30" t="str">
        <v>2023</v>
      </c>
      <c r="C30" t="s">
        <v>577</v>
      </c>
      <c r="D30" t="s">
        <v>586</v>
      </c>
      <c r="E30">
        <v>8148</v>
      </c>
      <c r="F30" t="s">
        <v>579</v>
      </c>
      <c r="G30">
        <f t="shared" si="0"/>
        <v>34</v>
      </c>
    </row>
    <row r="31" spans="1:7" x14ac:dyDescent="0.3">
      <c r="A31" t="s">
        <v>278</v>
      </c>
      <c r="B31" t="str">
        <v>2023</v>
      </c>
      <c r="C31" t="s">
        <v>577</v>
      </c>
      <c r="D31" t="s">
        <v>595</v>
      </c>
      <c r="E31">
        <v>14139</v>
      </c>
      <c r="F31" t="s">
        <v>584</v>
      </c>
      <c r="G31">
        <f t="shared" si="0"/>
        <v>31</v>
      </c>
    </row>
    <row r="32" spans="1:7" x14ac:dyDescent="0.3">
      <c r="A32" t="s">
        <v>606</v>
      </c>
      <c r="B32" t="str">
        <v>2023</v>
      </c>
      <c r="C32" t="s">
        <v>577</v>
      </c>
      <c r="D32" t="s">
        <v>578</v>
      </c>
      <c r="E32">
        <v>13337</v>
      </c>
      <c r="F32" t="s">
        <v>587</v>
      </c>
      <c r="G32">
        <f t="shared" si="0"/>
        <v>31</v>
      </c>
    </row>
    <row r="33" spans="1:7" x14ac:dyDescent="0.3">
      <c r="A33" t="s">
        <v>158</v>
      </c>
      <c r="B33" t="str">
        <v>2023</v>
      </c>
      <c r="C33" t="s">
        <v>577</v>
      </c>
      <c r="D33" t="s">
        <v>583</v>
      </c>
      <c r="E33">
        <v>4116</v>
      </c>
      <c r="F33" t="s">
        <v>579</v>
      </c>
      <c r="G33">
        <f t="shared" si="0"/>
        <v>34</v>
      </c>
    </row>
    <row r="34" spans="1:7" x14ac:dyDescent="0.3">
      <c r="A34" t="s">
        <v>607</v>
      </c>
      <c r="B34" t="str">
        <v>2023</v>
      </c>
      <c r="C34" t="s">
        <v>577</v>
      </c>
      <c r="D34" t="s">
        <v>578</v>
      </c>
      <c r="E34">
        <v>10386</v>
      </c>
      <c r="F34" t="s">
        <v>584</v>
      </c>
      <c r="G34">
        <f t="shared" si="0"/>
        <v>31</v>
      </c>
    </row>
    <row r="35" spans="1:7" x14ac:dyDescent="0.3">
      <c r="A35" t="s">
        <v>608</v>
      </c>
      <c r="B35" t="str">
        <v>2023</v>
      </c>
      <c r="C35" t="s">
        <v>582</v>
      </c>
      <c r="D35" t="s">
        <v>583</v>
      </c>
      <c r="E35">
        <v>3015</v>
      </c>
      <c r="F35" t="s">
        <v>579</v>
      </c>
      <c r="G35">
        <f t="shared" si="0"/>
        <v>34</v>
      </c>
    </row>
    <row r="36" spans="1:7" x14ac:dyDescent="0.3">
      <c r="A36" t="s">
        <v>606</v>
      </c>
      <c r="B36" t="str">
        <v>2023</v>
      </c>
      <c r="C36" t="s">
        <v>582</v>
      </c>
      <c r="D36" t="s">
        <v>580</v>
      </c>
      <c r="E36">
        <v>3701</v>
      </c>
      <c r="F36" t="s">
        <v>587</v>
      </c>
      <c r="G36">
        <f t="shared" si="0"/>
        <v>31</v>
      </c>
    </row>
    <row r="37" spans="1:7" x14ac:dyDescent="0.3">
      <c r="A37" t="s">
        <v>609</v>
      </c>
      <c r="B37" t="str">
        <v>2023</v>
      </c>
      <c r="C37" t="s">
        <v>582</v>
      </c>
      <c r="D37" t="s">
        <v>595</v>
      </c>
      <c r="E37">
        <v>156</v>
      </c>
      <c r="F37" t="s">
        <v>587</v>
      </c>
      <c r="G37">
        <f t="shared" si="0"/>
        <v>31</v>
      </c>
    </row>
    <row r="38" spans="1:7" x14ac:dyDescent="0.3">
      <c r="A38" t="s">
        <v>135</v>
      </c>
      <c r="B38" t="str">
        <v>2023</v>
      </c>
      <c r="C38" t="s">
        <v>582</v>
      </c>
      <c r="D38" t="s">
        <v>586</v>
      </c>
      <c r="E38">
        <v>563</v>
      </c>
      <c r="F38" t="s">
        <v>584</v>
      </c>
      <c r="G38">
        <f t="shared" si="0"/>
        <v>31</v>
      </c>
    </row>
    <row r="39" spans="1:7" x14ac:dyDescent="0.3">
      <c r="A39" t="s">
        <v>320</v>
      </c>
      <c r="B39" t="str">
        <v>2023</v>
      </c>
      <c r="C39" t="s">
        <v>582</v>
      </c>
      <c r="D39" t="s">
        <v>580</v>
      </c>
      <c r="E39">
        <v>3233</v>
      </c>
      <c r="F39" t="s">
        <v>589</v>
      </c>
      <c r="G39">
        <f t="shared" si="0"/>
        <v>24</v>
      </c>
    </row>
    <row r="40" spans="1:7" x14ac:dyDescent="0.3">
      <c r="A40" t="s">
        <v>610</v>
      </c>
      <c r="B40" t="str">
        <v>2023</v>
      </c>
      <c r="C40" t="s">
        <v>577</v>
      </c>
      <c r="D40" t="s">
        <v>586</v>
      </c>
      <c r="E40">
        <v>7643</v>
      </c>
      <c r="F40" t="s">
        <v>587</v>
      </c>
      <c r="G40">
        <f t="shared" si="0"/>
        <v>31</v>
      </c>
    </row>
    <row r="41" spans="1:7" x14ac:dyDescent="0.3">
      <c r="A41" t="s">
        <v>611</v>
      </c>
      <c r="B41" t="str">
        <v>2023</v>
      </c>
      <c r="C41" t="s">
        <v>577</v>
      </c>
      <c r="D41" t="s">
        <v>595</v>
      </c>
      <c r="E41">
        <v>4104</v>
      </c>
      <c r="F41" t="s">
        <v>584</v>
      </c>
      <c r="G41">
        <f t="shared" si="0"/>
        <v>31</v>
      </c>
    </row>
    <row r="42" spans="1:7" x14ac:dyDescent="0.3">
      <c r="A42" t="s">
        <v>369</v>
      </c>
      <c r="B42" t="str">
        <v>2023</v>
      </c>
      <c r="C42" t="s">
        <v>582</v>
      </c>
      <c r="D42" t="s">
        <v>595</v>
      </c>
      <c r="E42">
        <v>549</v>
      </c>
      <c r="F42" t="s">
        <v>579</v>
      </c>
      <c r="G42">
        <f t="shared" si="0"/>
        <v>34</v>
      </c>
    </row>
    <row r="43" spans="1:7" x14ac:dyDescent="0.3">
      <c r="A43" t="s">
        <v>143</v>
      </c>
      <c r="B43" t="str">
        <v>2023</v>
      </c>
      <c r="C43" t="s">
        <v>577</v>
      </c>
      <c r="D43" t="s">
        <v>580</v>
      </c>
      <c r="E43">
        <v>16691</v>
      </c>
      <c r="F43" t="s">
        <v>584</v>
      </c>
      <c r="G43">
        <f t="shared" si="0"/>
        <v>31</v>
      </c>
    </row>
    <row r="44" spans="1:7" x14ac:dyDescent="0.3">
      <c r="A44" t="s">
        <v>135</v>
      </c>
      <c r="B44" t="str">
        <v>2023</v>
      </c>
      <c r="C44" t="s">
        <v>582</v>
      </c>
      <c r="D44" t="s">
        <v>578</v>
      </c>
      <c r="E44">
        <v>4870</v>
      </c>
      <c r="F44" t="s">
        <v>584</v>
      </c>
      <c r="G44">
        <f t="shared" si="0"/>
        <v>31</v>
      </c>
    </row>
    <row r="45" spans="1:7" x14ac:dyDescent="0.3">
      <c r="A45" t="s">
        <v>612</v>
      </c>
      <c r="B45" t="str">
        <v>2023</v>
      </c>
      <c r="C45" t="s">
        <v>582</v>
      </c>
      <c r="D45" t="s">
        <v>580</v>
      </c>
      <c r="E45">
        <v>4864</v>
      </c>
      <c r="F45" t="s">
        <v>589</v>
      </c>
      <c r="G45">
        <f t="shared" si="0"/>
        <v>24</v>
      </c>
    </row>
    <row r="46" spans="1:7" x14ac:dyDescent="0.3">
      <c r="A46" t="s">
        <v>97</v>
      </c>
      <c r="B46" t="str">
        <v>2023</v>
      </c>
      <c r="C46" t="s">
        <v>582</v>
      </c>
      <c r="D46" t="s">
        <v>595</v>
      </c>
      <c r="E46">
        <v>4343</v>
      </c>
      <c r="F46" t="s">
        <v>579</v>
      </c>
      <c r="G46">
        <f t="shared" si="0"/>
        <v>34</v>
      </c>
    </row>
    <row r="47" spans="1:7" x14ac:dyDescent="0.3">
      <c r="A47" t="s">
        <v>613</v>
      </c>
      <c r="B47" t="str">
        <v>2023</v>
      </c>
      <c r="C47" t="s">
        <v>582</v>
      </c>
      <c r="D47" t="s">
        <v>590</v>
      </c>
      <c r="E47">
        <v>2947</v>
      </c>
      <c r="F47" t="s">
        <v>584</v>
      </c>
      <c r="G47">
        <f t="shared" si="0"/>
        <v>31</v>
      </c>
    </row>
    <row r="48" spans="1:7" x14ac:dyDescent="0.3">
      <c r="A48" t="s">
        <v>117</v>
      </c>
      <c r="B48" t="str">
        <v>2023</v>
      </c>
      <c r="C48" t="s">
        <v>577</v>
      </c>
      <c r="D48" t="s">
        <v>583</v>
      </c>
      <c r="E48">
        <v>2483</v>
      </c>
      <c r="F48" t="s">
        <v>587</v>
      </c>
      <c r="G48">
        <f t="shared" si="0"/>
        <v>31</v>
      </c>
    </row>
    <row r="49" spans="1:7" x14ac:dyDescent="0.3">
      <c r="A49" t="s">
        <v>41</v>
      </c>
      <c r="B49" t="str">
        <v>2023</v>
      </c>
      <c r="C49" t="s">
        <v>582</v>
      </c>
      <c r="D49" t="s">
        <v>597</v>
      </c>
      <c r="E49">
        <v>3859</v>
      </c>
      <c r="F49" t="s">
        <v>579</v>
      </c>
      <c r="G49">
        <f t="shared" si="0"/>
        <v>34</v>
      </c>
    </row>
    <row r="50" spans="1:7" x14ac:dyDescent="0.3">
      <c r="A50" t="s">
        <v>69</v>
      </c>
      <c r="B50" t="str">
        <v>2023</v>
      </c>
      <c r="C50" t="s">
        <v>582</v>
      </c>
      <c r="D50" t="s">
        <v>595</v>
      </c>
      <c r="E50">
        <v>3815</v>
      </c>
      <c r="F50" t="s">
        <v>587</v>
      </c>
      <c r="G50">
        <f t="shared" si="0"/>
        <v>31</v>
      </c>
    </row>
    <row r="51" spans="1:7" x14ac:dyDescent="0.3">
      <c r="A51" t="s">
        <v>614</v>
      </c>
      <c r="B51" t="str">
        <v>2023</v>
      </c>
      <c r="C51" t="s">
        <v>582</v>
      </c>
      <c r="D51" t="s">
        <v>597</v>
      </c>
      <c r="E51">
        <v>2705</v>
      </c>
      <c r="F51" t="s">
        <v>589</v>
      </c>
      <c r="G51">
        <f t="shared" si="0"/>
        <v>24</v>
      </c>
    </row>
    <row r="52" spans="1:7" x14ac:dyDescent="0.3">
      <c r="A52" t="s">
        <v>615</v>
      </c>
      <c r="B52" t="str">
        <v>2023</v>
      </c>
      <c r="C52" t="s">
        <v>577</v>
      </c>
      <c r="D52" t="s">
        <v>595</v>
      </c>
      <c r="E52">
        <v>1604</v>
      </c>
      <c r="F52" t="s">
        <v>579</v>
      </c>
      <c r="G52">
        <f t="shared" si="0"/>
        <v>34</v>
      </c>
    </row>
    <row r="53" spans="1:7" x14ac:dyDescent="0.3">
      <c r="A53" t="s">
        <v>260</v>
      </c>
      <c r="B53" t="str">
        <v>2023</v>
      </c>
      <c r="C53" t="s">
        <v>577</v>
      </c>
      <c r="D53" t="s">
        <v>578</v>
      </c>
      <c r="E53">
        <v>15586</v>
      </c>
      <c r="F53" t="s">
        <v>589</v>
      </c>
      <c r="G53">
        <f t="shared" si="0"/>
        <v>24</v>
      </c>
    </row>
    <row r="54" spans="1:7" x14ac:dyDescent="0.3">
      <c r="A54" t="s">
        <v>616</v>
      </c>
      <c r="B54" t="str">
        <v>2023</v>
      </c>
      <c r="C54" t="s">
        <v>582</v>
      </c>
      <c r="D54" t="s">
        <v>578</v>
      </c>
      <c r="E54">
        <v>429</v>
      </c>
      <c r="F54" t="s">
        <v>579</v>
      </c>
      <c r="G54">
        <f t="shared" si="0"/>
        <v>34</v>
      </c>
    </row>
    <row r="55" spans="1:7" x14ac:dyDescent="0.3">
      <c r="A55" t="s">
        <v>137</v>
      </c>
      <c r="B55" t="str">
        <v>2023</v>
      </c>
      <c r="C55" t="s">
        <v>582</v>
      </c>
      <c r="D55" t="s">
        <v>583</v>
      </c>
      <c r="E55">
        <v>1658</v>
      </c>
      <c r="F55" t="s">
        <v>589</v>
      </c>
      <c r="G55">
        <f t="shared" si="0"/>
        <v>24</v>
      </c>
    </row>
    <row r="56" spans="1:7" x14ac:dyDescent="0.3">
      <c r="A56" t="s">
        <v>617</v>
      </c>
      <c r="B56" t="str">
        <v>2023</v>
      </c>
      <c r="C56" t="s">
        <v>577</v>
      </c>
      <c r="D56" t="s">
        <v>583</v>
      </c>
      <c r="E56">
        <v>16334</v>
      </c>
      <c r="F56" t="s">
        <v>589</v>
      </c>
      <c r="G56">
        <f t="shared" si="0"/>
        <v>24</v>
      </c>
    </row>
    <row r="57" spans="1:7" x14ac:dyDescent="0.3">
      <c r="A57" t="s">
        <v>618</v>
      </c>
      <c r="B57" t="str">
        <v>2023</v>
      </c>
      <c r="C57" t="s">
        <v>582</v>
      </c>
      <c r="D57" t="s">
        <v>595</v>
      </c>
      <c r="E57">
        <v>1754</v>
      </c>
      <c r="F57" t="s">
        <v>587</v>
      </c>
      <c r="G57">
        <f t="shared" si="0"/>
        <v>31</v>
      </c>
    </row>
    <row r="58" spans="1:7" x14ac:dyDescent="0.3">
      <c r="A58" t="s">
        <v>41</v>
      </c>
      <c r="B58" t="str">
        <v>2023</v>
      </c>
      <c r="C58" t="s">
        <v>577</v>
      </c>
      <c r="D58" t="s">
        <v>595</v>
      </c>
      <c r="E58">
        <v>4315</v>
      </c>
      <c r="F58" t="s">
        <v>584</v>
      </c>
      <c r="G58">
        <f t="shared" si="0"/>
        <v>31</v>
      </c>
    </row>
    <row r="59" spans="1:7" x14ac:dyDescent="0.3">
      <c r="A59" t="s">
        <v>600</v>
      </c>
      <c r="B59" t="str">
        <v>2023</v>
      </c>
      <c r="C59" t="s">
        <v>582</v>
      </c>
      <c r="D59" t="s">
        <v>583</v>
      </c>
      <c r="E59">
        <v>4098</v>
      </c>
      <c r="F59" t="s">
        <v>587</v>
      </c>
      <c r="G59">
        <f t="shared" si="0"/>
        <v>31</v>
      </c>
    </row>
    <row r="60" spans="1:7" x14ac:dyDescent="0.3">
      <c r="A60" t="s">
        <v>619</v>
      </c>
      <c r="B60" t="str">
        <v>2023</v>
      </c>
      <c r="C60" t="s">
        <v>582</v>
      </c>
      <c r="D60" t="s">
        <v>597</v>
      </c>
      <c r="E60">
        <v>555</v>
      </c>
      <c r="F60" t="s">
        <v>587</v>
      </c>
      <c r="G60">
        <f t="shared" si="0"/>
        <v>31</v>
      </c>
    </row>
    <row r="61" spans="1:7" x14ac:dyDescent="0.3">
      <c r="A61" t="s">
        <v>620</v>
      </c>
      <c r="B61" t="str">
        <v>2023</v>
      </c>
      <c r="C61" t="s">
        <v>577</v>
      </c>
      <c r="D61" t="s">
        <v>580</v>
      </c>
      <c r="E61">
        <v>11328</v>
      </c>
      <c r="F61" t="s">
        <v>587</v>
      </c>
      <c r="G61">
        <f t="shared" si="0"/>
        <v>31</v>
      </c>
    </row>
    <row r="62" spans="1:7" x14ac:dyDescent="0.3">
      <c r="A62" t="s">
        <v>621</v>
      </c>
      <c r="B62" t="str">
        <v>2023</v>
      </c>
      <c r="C62" t="s">
        <v>582</v>
      </c>
      <c r="D62" t="s">
        <v>597</v>
      </c>
      <c r="E62">
        <v>2437</v>
      </c>
      <c r="F62" t="s">
        <v>584</v>
      </c>
      <c r="G62">
        <f t="shared" si="0"/>
        <v>31</v>
      </c>
    </row>
    <row r="63" spans="1:7" x14ac:dyDescent="0.3">
      <c r="A63" t="s">
        <v>520</v>
      </c>
      <c r="B63" t="str">
        <v>2023</v>
      </c>
      <c r="C63" t="s">
        <v>577</v>
      </c>
      <c r="D63" t="s">
        <v>586</v>
      </c>
      <c r="E63">
        <v>11163</v>
      </c>
      <c r="F63" t="s">
        <v>579</v>
      </c>
      <c r="G63">
        <f t="shared" si="0"/>
        <v>34</v>
      </c>
    </row>
    <row r="64" spans="1:7" x14ac:dyDescent="0.3">
      <c r="A64" t="s">
        <v>622</v>
      </c>
      <c r="B64" t="str">
        <v>2023</v>
      </c>
      <c r="C64" t="s">
        <v>577</v>
      </c>
      <c r="D64" t="s">
        <v>586</v>
      </c>
      <c r="E64">
        <v>2490</v>
      </c>
      <c r="F64" t="s">
        <v>589</v>
      </c>
      <c r="G64">
        <f t="shared" si="0"/>
        <v>24</v>
      </c>
    </row>
    <row r="65" spans="1:7" x14ac:dyDescent="0.3">
      <c r="A65" t="s">
        <v>173</v>
      </c>
      <c r="B65" t="str">
        <v>2023</v>
      </c>
      <c r="C65" t="s">
        <v>577</v>
      </c>
      <c r="D65" t="s">
        <v>578</v>
      </c>
      <c r="E65">
        <v>10664</v>
      </c>
      <c r="F65" t="s">
        <v>589</v>
      </c>
      <c r="G65">
        <f t="shared" si="0"/>
        <v>24</v>
      </c>
    </row>
    <row r="66" spans="1:7" x14ac:dyDescent="0.3">
      <c r="A66" t="s">
        <v>623</v>
      </c>
      <c r="B66" t="str">
        <v>2023</v>
      </c>
      <c r="C66" t="s">
        <v>582</v>
      </c>
      <c r="D66" t="s">
        <v>578</v>
      </c>
      <c r="E66">
        <v>1962</v>
      </c>
      <c r="F66" t="s">
        <v>579</v>
      </c>
      <c r="G66">
        <f t="shared" si="0"/>
        <v>34</v>
      </c>
    </row>
    <row r="67" spans="1:7" x14ac:dyDescent="0.3">
      <c r="A67" t="s">
        <v>624</v>
      </c>
      <c r="B67" t="str">
        <v>2023</v>
      </c>
      <c r="C67" t="s">
        <v>582</v>
      </c>
      <c r="D67" t="s">
        <v>597</v>
      </c>
      <c r="E67">
        <v>1879</v>
      </c>
      <c r="F67" t="s">
        <v>579</v>
      </c>
      <c r="G67">
        <f t="shared" ref="G67:G121" si="2">COUNTIF($F$2:$F$121,F67)</f>
        <v>34</v>
      </c>
    </row>
    <row r="68" spans="1:7" x14ac:dyDescent="0.3">
      <c r="A68" t="s">
        <v>69</v>
      </c>
      <c r="B68" t="str">
        <v>2023</v>
      </c>
      <c r="C68" t="s">
        <v>577</v>
      </c>
      <c r="D68" t="s">
        <v>595</v>
      </c>
      <c r="E68">
        <v>4124</v>
      </c>
      <c r="F68" t="s">
        <v>579</v>
      </c>
      <c r="G68">
        <f t="shared" si="2"/>
        <v>34</v>
      </c>
    </row>
    <row r="69" spans="1:7" x14ac:dyDescent="0.3">
      <c r="A69" t="s">
        <v>26</v>
      </c>
      <c r="B69" t="str">
        <v>2023</v>
      </c>
      <c r="C69" t="s">
        <v>577</v>
      </c>
      <c r="D69" t="s">
        <v>583</v>
      </c>
      <c r="E69">
        <v>11919</v>
      </c>
      <c r="F69" t="s">
        <v>587</v>
      </c>
      <c r="G69">
        <f t="shared" si="2"/>
        <v>31</v>
      </c>
    </row>
    <row r="70" spans="1:7" x14ac:dyDescent="0.3">
      <c r="A70" t="s">
        <v>237</v>
      </c>
      <c r="B70" t="str">
        <v>2023</v>
      </c>
      <c r="C70" t="s">
        <v>577</v>
      </c>
      <c r="D70" t="s">
        <v>586</v>
      </c>
      <c r="E70">
        <v>17825</v>
      </c>
      <c r="F70" t="s">
        <v>587</v>
      </c>
      <c r="G70">
        <f t="shared" si="2"/>
        <v>31</v>
      </c>
    </row>
    <row r="71" spans="1:7" x14ac:dyDescent="0.3">
      <c r="A71" t="s">
        <v>495</v>
      </c>
      <c r="B71" t="str">
        <v>2023</v>
      </c>
      <c r="C71" t="s">
        <v>582</v>
      </c>
      <c r="D71" t="s">
        <v>586</v>
      </c>
      <c r="E71">
        <v>1788</v>
      </c>
      <c r="F71" t="s">
        <v>587</v>
      </c>
      <c r="G71">
        <f t="shared" si="2"/>
        <v>31</v>
      </c>
    </row>
    <row r="72" spans="1:7" x14ac:dyDescent="0.3">
      <c r="A72" t="s">
        <v>625</v>
      </c>
      <c r="B72" t="str">
        <v>2023</v>
      </c>
      <c r="C72" t="s">
        <v>577</v>
      </c>
      <c r="D72" t="s">
        <v>580</v>
      </c>
      <c r="E72">
        <v>13642</v>
      </c>
      <c r="F72" t="s">
        <v>579</v>
      </c>
      <c r="G72">
        <f t="shared" si="2"/>
        <v>34</v>
      </c>
    </row>
    <row r="73" spans="1:7" x14ac:dyDescent="0.3">
      <c r="A73" t="s">
        <v>626</v>
      </c>
      <c r="B73" t="str">
        <v>2023</v>
      </c>
      <c r="C73" t="s">
        <v>582</v>
      </c>
      <c r="D73" t="s">
        <v>586</v>
      </c>
      <c r="E73">
        <v>371</v>
      </c>
      <c r="F73" t="s">
        <v>579</v>
      </c>
      <c r="G73">
        <f t="shared" si="2"/>
        <v>34</v>
      </c>
    </row>
    <row r="74" spans="1:7" x14ac:dyDescent="0.3">
      <c r="A74" t="s">
        <v>241</v>
      </c>
      <c r="B74" t="str">
        <v>2023</v>
      </c>
      <c r="C74" t="s">
        <v>577</v>
      </c>
      <c r="D74" t="s">
        <v>597</v>
      </c>
      <c r="E74">
        <v>14058</v>
      </c>
      <c r="F74" t="s">
        <v>579</v>
      </c>
      <c r="G74">
        <f t="shared" si="2"/>
        <v>34</v>
      </c>
    </row>
    <row r="75" spans="1:7" x14ac:dyDescent="0.3">
      <c r="A75" t="s">
        <v>627</v>
      </c>
      <c r="B75" t="str">
        <v>2023</v>
      </c>
      <c r="C75" t="s">
        <v>577</v>
      </c>
      <c r="D75" t="s">
        <v>580</v>
      </c>
      <c r="E75">
        <v>16226</v>
      </c>
      <c r="F75" t="s">
        <v>587</v>
      </c>
      <c r="G75">
        <f t="shared" si="2"/>
        <v>31</v>
      </c>
    </row>
    <row r="76" spans="1:7" x14ac:dyDescent="0.3">
      <c r="A76" t="s">
        <v>628</v>
      </c>
      <c r="B76" t="str">
        <v>2023</v>
      </c>
      <c r="C76" t="s">
        <v>582</v>
      </c>
      <c r="D76" t="s">
        <v>586</v>
      </c>
      <c r="E76">
        <v>3110</v>
      </c>
      <c r="F76" t="s">
        <v>584</v>
      </c>
      <c r="G76">
        <f t="shared" si="2"/>
        <v>31</v>
      </c>
    </row>
    <row r="77" spans="1:7" x14ac:dyDescent="0.3">
      <c r="A77" t="s">
        <v>629</v>
      </c>
      <c r="B77" t="str">
        <v>2023</v>
      </c>
      <c r="C77" t="s">
        <v>582</v>
      </c>
      <c r="D77" t="s">
        <v>595</v>
      </c>
      <c r="E77">
        <v>4621</v>
      </c>
      <c r="F77" t="s">
        <v>587</v>
      </c>
      <c r="G77">
        <f t="shared" si="2"/>
        <v>31</v>
      </c>
    </row>
    <row r="78" spans="1:7" x14ac:dyDescent="0.3">
      <c r="A78" t="s">
        <v>135</v>
      </c>
      <c r="B78" t="str">
        <v>2023</v>
      </c>
      <c r="C78" t="s">
        <v>582</v>
      </c>
      <c r="D78" t="s">
        <v>578</v>
      </c>
      <c r="E78">
        <v>2837</v>
      </c>
      <c r="F78" t="s">
        <v>589</v>
      </c>
      <c r="G78">
        <f t="shared" si="2"/>
        <v>24</v>
      </c>
    </row>
    <row r="79" spans="1:7" x14ac:dyDescent="0.3">
      <c r="A79" t="s">
        <v>630</v>
      </c>
      <c r="B79" t="str">
        <v>2023</v>
      </c>
      <c r="C79" t="s">
        <v>582</v>
      </c>
      <c r="D79" t="s">
        <v>578</v>
      </c>
      <c r="E79">
        <v>3465</v>
      </c>
      <c r="F79" t="s">
        <v>584</v>
      </c>
      <c r="G79">
        <f t="shared" si="2"/>
        <v>31</v>
      </c>
    </row>
    <row r="80" spans="1:7" x14ac:dyDescent="0.3">
      <c r="A80" t="s">
        <v>133</v>
      </c>
      <c r="B80" t="str">
        <v>2023</v>
      </c>
      <c r="C80" t="s">
        <v>577</v>
      </c>
      <c r="D80" t="s">
        <v>578</v>
      </c>
      <c r="E80">
        <v>14273</v>
      </c>
      <c r="F80" t="s">
        <v>584</v>
      </c>
      <c r="G80">
        <f t="shared" si="2"/>
        <v>31</v>
      </c>
    </row>
    <row r="81" spans="1:7" x14ac:dyDescent="0.3">
      <c r="A81" t="s">
        <v>475</v>
      </c>
      <c r="B81" t="str">
        <v>2023</v>
      </c>
      <c r="C81" t="s">
        <v>582</v>
      </c>
      <c r="D81" t="s">
        <v>578</v>
      </c>
      <c r="E81">
        <v>2394</v>
      </c>
      <c r="F81" t="s">
        <v>584</v>
      </c>
      <c r="G81">
        <f t="shared" si="2"/>
        <v>31</v>
      </c>
    </row>
    <row r="82" spans="1:7" x14ac:dyDescent="0.3">
      <c r="A82" t="s">
        <v>608</v>
      </c>
      <c r="B82" t="str">
        <v>2023</v>
      </c>
      <c r="C82" t="s">
        <v>582</v>
      </c>
      <c r="D82" t="s">
        <v>580</v>
      </c>
      <c r="E82">
        <v>3592</v>
      </c>
      <c r="F82" t="s">
        <v>587</v>
      </c>
      <c r="G82">
        <f t="shared" si="2"/>
        <v>31</v>
      </c>
    </row>
    <row r="83" spans="1:7" x14ac:dyDescent="0.3">
      <c r="A83" t="s">
        <v>371</v>
      </c>
      <c r="B83" t="str">
        <v>2023</v>
      </c>
      <c r="C83" t="s">
        <v>582</v>
      </c>
      <c r="D83" t="s">
        <v>586</v>
      </c>
      <c r="E83">
        <v>104</v>
      </c>
      <c r="F83" t="s">
        <v>579</v>
      </c>
      <c r="G83">
        <f t="shared" si="2"/>
        <v>34</v>
      </c>
    </row>
    <row r="84" spans="1:7" x14ac:dyDescent="0.3">
      <c r="A84" t="s">
        <v>631</v>
      </c>
      <c r="B84" t="str">
        <v>2023</v>
      </c>
      <c r="C84" t="s">
        <v>577</v>
      </c>
      <c r="D84" t="s">
        <v>580</v>
      </c>
      <c r="E84">
        <v>1950</v>
      </c>
      <c r="F84" t="s">
        <v>589</v>
      </c>
      <c r="G84">
        <f t="shared" si="2"/>
        <v>24</v>
      </c>
    </row>
    <row r="85" spans="1:7" x14ac:dyDescent="0.3">
      <c r="A85" t="s">
        <v>632</v>
      </c>
      <c r="B85" t="str">
        <v>2023</v>
      </c>
      <c r="C85" t="s">
        <v>577</v>
      </c>
      <c r="D85" t="s">
        <v>578</v>
      </c>
      <c r="E85">
        <v>12285</v>
      </c>
      <c r="F85" t="s">
        <v>587</v>
      </c>
      <c r="G85">
        <f t="shared" si="2"/>
        <v>31</v>
      </c>
    </row>
    <row r="86" spans="1:7" x14ac:dyDescent="0.3">
      <c r="A86" t="s">
        <v>633</v>
      </c>
      <c r="B86" t="str">
        <v>2023</v>
      </c>
      <c r="C86" t="s">
        <v>582</v>
      </c>
      <c r="D86" t="s">
        <v>586</v>
      </c>
      <c r="E86">
        <v>258</v>
      </c>
      <c r="F86" t="s">
        <v>579</v>
      </c>
      <c r="G86">
        <f t="shared" si="2"/>
        <v>34</v>
      </c>
    </row>
    <row r="87" spans="1:7" x14ac:dyDescent="0.3">
      <c r="A87" t="s">
        <v>634</v>
      </c>
      <c r="B87" t="str">
        <v>2023</v>
      </c>
      <c r="C87" t="s">
        <v>582</v>
      </c>
      <c r="D87" t="s">
        <v>580</v>
      </c>
      <c r="E87">
        <v>1232</v>
      </c>
      <c r="F87" t="s">
        <v>589</v>
      </c>
      <c r="G87">
        <f t="shared" si="2"/>
        <v>24</v>
      </c>
    </row>
    <row r="88" spans="1:7" x14ac:dyDescent="0.3">
      <c r="A88" t="s">
        <v>605</v>
      </c>
      <c r="B88" t="str">
        <v>2023</v>
      </c>
      <c r="C88" t="s">
        <v>582</v>
      </c>
      <c r="D88" t="s">
        <v>583</v>
      </c>
      <c r="E88">
        <v>4463</v>
      </c>
      <c r="F88" t="s">
        <v>587</v>
      </c>
      <c r="G88">
        <f t="shared" si="2"/>
        <v>31</v>
      </c>
    </row>
    <row r="89" spans="1:7" x14ac:dyDescent="0.3">
      <c r="A89" t="s">
        <v>363</v>
      </c>
      <c r="B89" t="str">
        <v>2023</v>
      </c>
      <c r="C89" t="s">
        <v>577</v>
      </c>
      <c r="D89" t="s">
        <v>580</v>
      </c>
      <c r="E89">
        <v>19724</v>
      </c>
      <c r="F89" t="s">
        <v>584</v>
      </c>
      <c r="G89">
        <f t="shared" si="2"/>
        <v>31</v>
      </c>
    </row>
    <row r="90" spans="1:7" x14ac:dyDescent="0.3">
      <c r="A90" t="s">
        <v>628</v>
      </c>
      <c r="B90" t="str">
        <v>2023</v>
      </c>
      <c r="C90" t="s">
        <v>582</v>
      </c>
      <c r="D90" t="s">
        <v>590</v>
      </c>
      <c r="E90">
        <v>4391</v>
      </c>
      <c r="F90" t="s">
        <v>587</v>
      </c>
      <c r="G90">
        <f t="shared" si="2"/>
        <v>31</v>
      </c>
    </row>
    <row r="91" spans="1:7" x14ac:dyDescent="0.3">
      <c r="A91" t="s">
        <v>635</v>
      </c>
      <c r="B91" t="str">
        <v>2023</v>
      </c>
      <c r="C91" t="s">
        <v>577</v>
      </c>
      <c r="D91" t="s">
        <v>586</v>
      </c>
      <c r="E91">
        <v>6971</v>
      </c>
      <c r="F91" t="s">
        <v>584</v>
      </c>
      <c r="G91">
        <f t="shared" si="2"/>
        <v>31</v>
      </c>
    </row>
    <row r="92" spans="1:7" x14ac:dyDescent="0.3">
      <c r="A92" t="s">
        <v>636</v>
      </c>
      <c r="B92" t="str">
        <v>2023</v>
      </c>
      <c r="C92" t="s">
        <v>582</v>
      </c>
      <c r="D92" t="s">
        <v>578</v>
      </c>
      <c r="E92">
        <v>3016</v>
      </c>
      <c r="F92" t="s">
        <v>579</v>
      </c>
      <c r="G92">
        <f t="shared" si="2"/>
        <v>34</v>
      </c>
    </row>
    <row r="93" spans="1:7" x14ac:dyDescent="0.3">
      <c r="A93" t="s">
        <v>258</v>
      </c>
      <c r="B93" t="str">
        <v>2023</v>
      </c>
      <c r="C93" t="s">
        <v>577</v>
      </c>
      <c r="D93" t="s">
        <v>595</v>
      </c>
      <c r="E93">
        <v>9322</v>
      </c>
      <c r="F93" t="s">
        <v>587</v>
      </c>
      <c r="G93">
        <f t="shared" si="2"/>
        <v>31</v>
      </c>
    </row>
    <row r="94" spans="1:7" x14ac:dyDescent="0.3">
      <c r="A94" t="s">
        <v>166</v>
      </c>
      <c r="B94" t="str">
        <v>2023</v>
      </c>
      <c r="C94" t="s">
        <v>577</v>
      </c>
      <c r="D94" t="s">
        <v>578</v>
      </c>
      <c r="E94">
        <v>6888</v>
      </c>
      <c r="F94" t="s">
        <v>579</v>
      </c>
      <c r="G94">
        <f t="shared" si="2"/>
        <v>34</v>
      </c>
    </row>
    <row r="95" spans="1:7" x14ac:dyDescent="0.3">
      <c r="A95" t="s">
        <v>637</v>
      </c>
      <c r="B95" t="str">
        <v>2023</v>
      </c>
      <c r="C95" t="s">
        <v>582</v>
      </c>
      <c r="D95" t="s">
        <v>590</v>
      </c>
      <c r="E95">
        <v>1674</v>
      </c>
      <c r="F95" t="s">
        <v>579</v>
      </c>
      <c r="G95">
        <f t="shared" si="2"/>
        <v>34</v>
      </c>
    </row>
    <row r="96" spans="1:7" x14ac:dyDescent="0.3">
      <c r="A96" t="s">
        <v>349</v>
      </c>
      <c r="B96" t="str">
        <v>2023</v>
      </c>
      <c r="C96" t="s">
        <v>577</v>
      </c>
      <c r="D96" t="s">
        <v>580</v>
      </c>
      <c r="E96">
        <v>8032</v>
      </c>
      <c r="F96" t="s">
        <v>589</v>
      </c>
      <c r="G96">
        <f t="shared" si="2"/>
        <v>24</v>
      </c>
    </row>
    <row r="97" spans="1:7" x14ac:dyDescent="0.3">
      <c r="A97" t="s">
        <v>499</v>
      </c>
      <c r="B97" t="str">
        <v>2023</v>
      </c>
      <c r="C97" t="s">
        <v>577</v>
      </c>
      <c r="D97" t="s">
        <v>590</v>
      </c>
      <c r="E97">
        <v>15347</v>
      </c>
      <c r="F97" t="s">
        <v>579</v>
      </c>
      <c r="G97">
        <f t="shared" si="2"/>
        <v>34</v>
      </c>
    </row>
    <row r="98" spans="1:7" x14ac:dyDescent="0.3">
      <c r="A98" t="s">
        <v>638</v>
      </c>
      <c r="B98" t="str">
        <v>2023</v>
      </c>
      <c r="C98" t="s">
        <v>582</v>
      </c>
      <c r="D98" t="s">
        <v>586</v>
      </c>
      <c r="E98">
        <v>4147</v>
      </c>
      <c r="F98" t="s">
        <v>584</v>
      </c>
      <c r="G98">
        <f t="shared" si="2"/>
        <v>31</v>
      </c>
    </row>
    <row r="99" spans="1:7" x14ac:dyDescent="0.3">
      <c r="A99" t="s">
        <v>639</v>
      </c>
      <c r="B99" t="str">
        <v>2023</v>
      </c>
      <c r="C99" t="s">
        <v>582</v>
      </c>
      <c r="D99" t="s">
        <v>590</v>
      </c>
      <c r="E99">
        <v>3173</v>
      </c>
      <c r="F99" t="s">
        <v>584</v>
      </c>
      <c r="G99">
        <f t="shared" si="2"/>
        <v>31</v>
      </c>
    </row>
    <row r="100" spans="1:7" x14ac:dyDescent="0.3">
      <c r="A100" t="s">
        <v>640</v>
      </c>
      <c r="B100" t="str">
        <v>2023</v>
      </c>
      <c r="C100" t="s">
        <v>577</v>
      </c>
      <c r="D100" t="s">
        <v>597</v>
      </c>
      <c r="E100">
        <v>788</v>
      </c>
      <c r="F100" t="s">
        <v>584</v>
      </c>
      <c r="G100">
        <f t="shared" si="2"/>
        <v>31</v>
      </c>
    </row>
    <row r="101" spans="1:7" x14ac:dyDescent="0.3">
      <c r="A101" t="s">
        <v>641</v>
      </c>
      <c r="B101" t="str">
        <v>2023</v>
      </c>
      <c r="C101" t="s">
        <v>582</v>
      </c>
      <c r="D101" t="s">
        <v>595</v>
      </c>
      <c r="E101">
        <v>1762</v>
      </c>
      <c r="F101" t="s">
        <v>589</v>
      </c>
      <c r="G101">
        <f t="shared" si="2"/>
        <v>24</v>
      </c>
    </row>
    <row r="102" spans="1:7" x14ac:dyDescent="0.3">
      <c r="A102" t="s">
        <v>642</v>
      </c>
      <c r="B102" t="str">
        <v>2023</v>
      </c>
      <c r="C102" t="s">
        <v>577</v>
      </c>
      <c r="D102" t="s">
        <v>586</v>
      </c>
      <c r="E102">
        <v>16648</v>
      </c>
      <c r="F102" t="s">
        <v>589</v>
      </c>
      <c r="G102">
        <f t="shared" si="2"/>
        <v>24</v>
      </c>
    </row>
    <row r="103" spans="1:7" x14ac:dyDescent="0.3">
      <c r="A103" t="s">
        <v>643</v>
      </c>
      <c r="B103" t="str">
        <v>2023</v>
      </c>
      <c r="C103" t="s">
        <v>582</v>
      </c>
      <c r="D103" t="s">
        <v>578</v>
      </c>
      <c r="E103">
        <v>3065</v>
      </c>
      <c r="F103" t="s">
        <v>584</v>
      </c>
      <c r="G103">
        <f t="shared" si="2"/>
        <v>31</v>
      </c>
    </row>
    <row r="104" spans="1:7" x14ac:dyDescent="0.3">
      <c r="A104" t="s">
        <v>644</v>
      </c>
      <c r="B104" t="str">
        <v>2023</v>
      </c>
      <c r="C104" t="s">
        <v>582</v>
      </c>
      <c r="D104" t="s">
        <v>578</v>
      </c>
      <c r="E104">
        <v>2913</v>
      </c>
      <c r="F104" t="s">
        <v>587</v>
      </c>
      <c r="G104">
        <f t="shared" si="2"/>
        <v>31</v>
      </c>
    </row>
    <row r="105" spans="1:7" x14ac:dyDescent="0.3">
      <c r="A105" t="s">
        <v>645</v>
      </c>
      <c r="B105" t="str">
        <v>2023</v>
      </c>
      <c r="C105" t="s">
        <v>577</v>
      </c>
      <c r="D105" t="s">
        <v>590</v>
      </c>
      <c r="E105">
        <v>1842</v>
      </c>
      <c r="F105" t="s">
        <v>587</v>
      </c>
      <c r="G105">
        <f t="shared" si="2"/>
        <v>31</v>
      </c>
    </row>
    <row r="106" spans="1:7" x14ac:dyDescent="0.3">
      <c r="A106" t="s">
        <v>423</v>
      </c>
      <c r="B106" t="str">
        <v>2023</v>
      </c>
      <c r="C106" t="s">
        <v>582</v>
      </c>
      <c r="D106" t="s">
        <v>586</v>
      </c>
      <c r="E106">
        <v>3235</v>
      </c>
      <c r="F106" t="s">
        <v>587</v>
      </c>
      <c r="G106">
        <f t="shared" si="2"/>
        <v>31</v>
      </c>
    </row>
    <row r="107" spans="1:7" x14ac:dyDescent="0.3">
      <c r="A107" t="s">
        <v>646</v>
      </c>
      <c r="B107" t="str">
        <v>2023</v>
      </c>
      <c r="C107" t="s">
        <v>582</v>
      </c>
      <c r="D107" t="s">
        <v>595</v>
      </c>
      <c r="E107">
        <v>4470</v>
      </c>
      <c r="F107" t="s">
        <v>584</v>
      </c>
      <c r="G107">
        <f t="shared" si="2"/>
        <v>31</v>
      </c>
    </row>
    <row r="108" spans="1:7" x14ac:dyDescent="0.3">
      <c r="A108" t="s">
        <v>647</v>
      </c>
      <c r="B108" t="str">
        <v>2023</v>
      </c>
      <c r="C108" t="s">
        <v>582</v>
      </c>
      <c r="D108" t="s">
        <v>583</v>
      </c>
      <c r="E108">
        <v>961</v>
      </c>
      <c r="F108" t="s">
        <v>584</v>
      </c>
      <c r="G108">
        <f t="shared" si="2"/>
        <v>31</v>
      </c>
    </row>
    <row r="109" spans="1:7" x14ac:dyDescent="0.3">
      <c r="A109" t="s">
        <v>107</v>
      </c>
      <c r="B109" t="str">
        <v>2023</v>
      </c>
      <c r="C109" t="s">
        <v>577</v>
      </c>
      <c r="D109" t="s">
        <v>595</v>
      </c>
      <c r="E109">
        <v>1781</v>
      </c>
      <c r="F109" t="s">
        <v>579</v>
      </c>
      <c r="G109">
        <f t="shared" si="2"/>
        <v>34</v>
      </c>
    </row>
    <row r="110" spans="1:7" x14ac:dyDescent="0.3">
      <c r="A110" t="s">
        <v>450</v>
      </c>
      <c r="B110" t="str">
        <v>2023</v>
      </c>
      <c r="C110" t="s">
        <v>577</v>
      </c>
      <c r="D110" t="s">
        <v>586</v>
      </c>
      <c r="E110">
        <v>15007</v>
      </c>
      <c r="F110" t="s">
        <v>579</v>
      </c>
      <c r="G110">
        <f t="shared" si="2"/>
        <v>34</v>
      </c>
    </row>
    <row r="111" spans="1:7" x14ac:dyDescent="0.3">
      <c r="A111" t="s">
        <v>625</v>
      </c>
      <c r="B111" t="str">
        <v>2023</v>
      </c>
      <c r="C111" t="s">
        <v>577</v>
      </c>
      <c r="D111" t="s">
        <v>597</v>
      </c>
      <c r="E111">
        <v>11169</v>
      </c>
      <c r="F111" t="s">
        <v>579</v>
      </c>
      <c r="G111">
        <f t="shared" si="2"/>
        <v>34</v>
      </c>
    </row>
    <row r="112" spans="1:7" x14ac:dyDescent="0.3">
      <c r="A112" t="s">
        <v>611</v>
      </c>
      <c r="B112" t="str">
        <v>2023</v>
      </c>
      <c r="C112" t="s">
        <v>582</v>
      </c>
      <c r="D112" t="s">
        <v>595</v>
      </c>
      <c r="E112">
        <v>765</v>
      </c>
      <c r="F112" t="s">
        <v>584</v>
      </c>
      <c r="G112">
        <f t="shared" si="2"/>
        <v>31</v>
      </c>
    </row>
    <row r="113" spans="1:7" x14ac:dyDescent="0.3">
      <c r="A113" t="s">
        <v>648</v>
      </c>
      <c r="B113" t="str">
        <v>2023</v>
      </c>
      <c r="C113" t="s">
        <v>577</v>
      </c>
      <c r="D113" t="s">
        <v>590</v>
      </c>
      <c r="E113">
        <v>13680</v>
      </c>
      <c r="F113" t="s">
        <v>579</v>
      </c>
      <c r="G113">
        <f t="shared" si="2"/>
        <v>34</v>
      </c>
    </row>
    <row r="114" spans="1:7" x14ac:dyDescent="0.3">
      <c r="A114" t="s">
        <v>419</v>
      </c>
      <c r="B114" t="str">
        <v>2023</v>
      </c>
      <c r="C114" t="s">
        <v>577</v>
      </c>
      <c r="D114" t="s">
        <v>578</v>
      </c>
      <c r="E114">
        <v>12153</v>
      </c>
      <c r="F114" t="s">
        <v>589</v>
      </c>
      <c r="G114">
        <f t="shared" si="2"/>
        <v>24</v>
      </c>
    </row>
    <row r="115" spans="1:7" x14ac:dyDescent="0.3">
      <c r="A115" t="s">
        <v>646</v>
      </c>
      <c r="B115" t="str">
        <v>2023</v>
      </c>
      <c r="C115" t="s">
        <v>577</v>
      </c>
      <c r="D115" t="s">
        <v>586</v>
      </c>
      <c r="E115">
        <v>6334</v>
      </c>
      <c r="F115" t="s">
        <v>589</v>
      </c>
      <c r="G115">
        <f t="shared" si="2"/>
        <v>24</v>
      </c>
    </row>
    <row r="116" spans="1:7" x14ac:dyDescent="0.3">
      <c r="A116" t="s">
        <v>152</v>
      </c>
      <c r="B116" t="str">
        <v>2023</v>
      </c>
      <c r="C116" t="s">
        <v>577</v>
      </c>
      <c r="D116" t="s">
        <v>586</v>
      </c>
      <c r="E116">
        <v>11332</v>
      </c>
      <c r="F116" t="s">
        <v>587</v>
      </c>
      <c r="G116">
        <f t="shared" si="2"/>
        <v>31</v>
      </c>
    </row>
    <row r="117" spans="1:7" x14ac:dyDescent="0.3">
      <c r="A117" t="s">
        <v>649</v>
      </c>
      <c r="B117" t="str">
        <v>2023</v>
      </c>
      <c r="C117" t="s">
        <v>582</v>
      </c>
      <c r="D117" t="s">
        <v>578</v>
      </c>
      <c r="E117">
        <v>2755</v>
      </c>
      <c r="F117" t="s">
        <v>584</v>
      </c>
      <c r="G117">
        <f t="shared" si="2"/>
        <v>31</v>
      </c>
    </row>
    <row r="118" spans="1:7" x14ac:dyDescent="0.3">
      <c r="A118" t="s">
        <v>313</v>
      </c>
      <c r="B118" t="str">
        <v>2023</v>
      </c>
      <c r="C118" t="s">
        <v>582</v>
      </c>
      <c r="D118" t="s">
        <v>586</v>
      </c>
      <c r="E118">
        <v>611</v>
      </c>
      <c r="F118" t="s">
        <v>587</v>
      </c>
      <c r="G118">
        <f t="shared" si="2"/>
        <v>31</v>
      </c>
    </row>
    <row r="119" spans="1:7" x14ac:dyDescent="0.3">
      <c r="A119" t="s">
        <v>10</v>
      </c>
      <c r="B119" t="str">
        <v>2023</v>
      </c>
      <c r="C119" t="s">
        <v>582</v>
      </c>
      <c r="D119" t="s">
        <v>597</v>
      </c>
      <c r="E119">
        <v>2237</v>
      </c>
      <c r="F119" t="s">
        <v>584</v>
      </c>
      <c r="G119">
        <f t="shared" si="2"/>
        <v>31</v>
      </c>
    </row>
    <row r="120" spans="1:7" x14ac:dyDescent="0.3">
      <c r="A120" t="s">
        <v>320</v>
      </c>
      <c r="B120" t="str">
        <v>2023</v>
      </c>
      <c r="C120" t="s">
        <v>577</v>
      </c>
      <c r="D120" t="s">
        <v>578</v>
      </c>
      <c r="E120">
        <v>13471</v>
      </c>
      <c r="F120" t="s">
        <v>589</v>
      </c>
      <c r="G120">
        <f t="shared" si="2"/>
        <v>24</v>
      </c>
    </row>
    <row r="121" spans="1:7" x14ac:dyDescent="0.3">
      <c r="A121" t="s">
        <v>650</v>
      </c>
      <c r="B121" t="str">
        <v>2023</v>
      </c>
      <c r="C121" t="s">
        <v>577</v>
      </c>
      <c r="D121" t="s">
        <v>586</v>
      </c>
      <c r="E121">
        <v>1006</v>
      </c>
      <c r="F121" t="s">
        <v>587</v>
      </c>
      <c r="G121">
        <f t="shared" si="2"/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Product_Lookup</vt:lpstr>
      <vt:lpstr>Personal_Finance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Mainul Ishraf</cp:lastModifiedBy>
  <dcterms:created xsi:type="dcterms:W3CDTF">2026-03-15T14:33:52Z</dcterms:created>
  <dcterms:modified xsi:type="dcterms:W3CDTF">2026-03-17T18:09:59Z</dcterms:modified>
</cp:coreProperties>
</file>